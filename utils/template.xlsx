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iceonline-my.sharepoint.com/personal/joao_alves_nice_com/Documents/Desktop/Teste/qt2/"/>
    </mc:Choice>
  </mc:AlternateContent>
  <xr:revisionPtr revIDLastSave="2" documentId="8_{BA8C3522-90B8-4EA5-B144-FD6FB0ED232B}" xr6:coauthVersionLast="47" xr6:coauthVersionMax="47" xr10:uidLastSave="{AFD5AAE1-D09C-4018-8A4D-B6ED261F2062}"/>
  <bookViews>
    <workbookView xWindow="28680" yWindow="-120" windowWidth="29040" windowHeight="15720" xr2:uid="{81D6D1DF-509F-4A71-A2FE-682F72568432}"/>
  </bookViews>
  <sheets>
    <sheet name="Opp Name" sheetId="2" r:id="rId1"/>
    <sheet name="Opportunity_Name USD" sheetId="7" r:id="rId2"/>
    <sheet name="Sobre o Uso do Template" sheetId="3" r:id="rId3"/>
  </sheets>
  <definedNames>
    <definedName name="bp" localSheetId="0">'Opp Name'!$R$7</definedName>
    <definedName name="bp" localSheetId="1">'Opportunity_Name USD'!$R$7</definedName>
    <definedName name="bpusd">#REF!</definedName>
    <definedName name="iconn" localSheetId="0">'Opp Name'!$R$6</definedName>
    <definedName name="iconn" localSheetId="1">'Opportunity_Name USD'!$R$6</definedName>
    <definedName name="iconnusd">#REF!</definedName>
    <definedName name="isaas" localSheetId="0">'Opp Name'!$R$4</definedName>
    <definedName name="isaas" localSheetId="1">'Opportunity_Name USD'!$R$4</definedName>
    <definedName name="isaasusd">#REF!</definedName>
    <definedName name="iserv" localSheetId="0">'Opp Name'!$R$5</definedName>
    <definedName name="iserv" localSheetId="1">'Opportunity_Name USD'!$R$5</definedName>
    <definedName name="iservus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2" l="1"/>
  <c r="N53" i="2" s="1" a="1"/>
  <c r="N53" i="2" s="1"/>
  <c r="O53" i="2" s="1"/>
  <c r="K54" i="2"/>
  <c r="M54" i="2" s="1"/>
  <c r="J53" i="2" a="1"/>
  <c r="J53" i="2"/>
  <c r="J54" i="2" a="1"/>
  <c r="J54" i="2" s="1"/>
  <c r="J55" i="2" a="1"/>
  <c r="J55" i="2"/>
  <c r="K55" i="2" s="1"/>
  <c r="N55" i="2" s="1" a="1"/>
  <c r="N55" i="2" s="1"/>
  <c r="O55" i="2" s="1"/>
  <c r="J56" i="2" a="1"/>
  <c r="J56" i="2" s="1"/>
  <c r="K56" i="2" s="1"/>
  <c r="N56" i="2" s="1" a="1"/>
  <c r="N56" i="2" s="1"/>
  <c r="O56" i="2" s="1"/>
  <c r="J57" i="2" a="1"/>
  <c r="J57" i="2" s="1"/>
  <c r="K57" i="2" s="1"/>
  <c r="I53" i="2"/>
  <c r="I54" i="2"/>
  <c r="I55" i="2"/>
  <c r="I56" i="2"/>
  <c r="I57" i="2"/>
  <c r="I43" i="2"/>
  <c r="I31" i="2"/>
  <c r="W17" i="7" s="1"/>
  <c r="I32" i="2"/>
  <c r="I33" i="2"/>
  <c r="J32" i="2" a="1"/>
  <c r="J32" i="2" s="1"/>
  <c r="K32" i="2" s="1"/>
  <c r="J118" i="7"/>
  <c r="N118" i="7" s="1"/>
  <c r="O118" i="7" s="1"/>
  <c r="I118" i="7"/>
  <c r="M118" i="7" s="1"/>
  <c r="I116" i="7"/>
  <c r="I115" i="7"/>
  <c r="I114" i="7"/>
  <c r="I113" i="7"/>
  <c r="I112" i="7"/>
  <c r="I111" i="7"/>
  <c r="I110" i="7"/>
  <c r="I109" i="7"/>
  <c r="J101" i="7" a="1"/>
  <c r="J101" i="7" s="1"/>
  <c r="K101" i="7" s="1"/>
  <c r="I101" i="7"/>
  <c r="J100" i="7" a="1"/>
  <c r="J100" i="7" s="1"/>
  <c r="K100" i="7" s="1"/>
  <c r="I100" i="7"/>
  <c r="J99" i="7" a="1"/>
  <c r="J99" i="7" s="1"/>
  <c r="K99" i="7" s="1"/>
  <c r="I99" i="7"/>
  <c r="J98" i="7" a="1"/>
  <c r="J98" i="7" s="1"/>
  <c r="K98" i="7" s="1"/>
  <c r="I98" i="7"/>
  <c r="L97" i="7"/>
  <c r="J93" i="7" a="1"/>
  <c r="J93" i="7" s="1"/>
  <c r="K93" i="7" s="1"/>
  <c r="L93" i="7" s="1"/>
  <c r="I93" i="7"/>
  <c r="J92" i="7" a="1"/>
  <c r="J92" i="7" s="1"/>
  <c r="K92" i="7" s="1"/>
  <c r="N92" i="7" s="1" a="1"/>
  <c r="N92" i="7" s="1"/>
  <c r="O92" i="7" s="1"/>
  <c r="I92" i="7"/>
  <c r="J91" i="7" a="1"/>
  <c r="J91" i="7" s="1"/>
  <c r="K91" i="7" s="1"/>
  <c r="I91" i="7"/>
  <c r="J90" i="7" a="1"/>
  <c r="J90" i="7" s="1"/>
  <c r="K90" i="7" s="1"/>
  <c r="L90" i="7" s="1"/>
  <c r="I90" i="7"/>
  <c r="I94" i="7" s="1"/>
  <c r="L89" i="7"/>
  <c r="J85" i="7" a="1"/>
  <c r="J85" i="7" s="1"/>
  <c r="K85" i="7" s="1"/>
  <c r="I85" i="7"/>
  <c r="J84" i="7" a="1"/>
  <c r="J84" i="7" s="1"/>
  <c r="K84" i="7" s="1"/>
  <c r="I84" i="7"/>
  <c r="J83" i="7" a="1"/>
  <c r="J83" i="7" s="1"/>
  <c r="K83" i="7" s="1"/>
  <c r="M83" i="7" s="1"/>
  <c r="I83" i="7"/>
  <c r="J82" i="7" a="1"/>
  <c r="J82" i="7" s="1"/>
  <c r="K82" i="7" s="1"/>
  <c r="I82" i="7"/>
  <c r="J81" i="7" a="1"/>
  <c r="J81" i="7" s="1"/>
  <c r="K81" i="7" s="1"/>
  <c r="I81" i="7"/>
  <c r="J80" i="7" a="1"/>
  <c r="J80" i="7" s="1"/>
  <c r="K80" i="7" s="1"/>
  <c r="I80" i="7"/>
  <c r="J79" i="7" a="1"/>
  <c r="J79" i="7" s="1"/>
  <c r="K79" i="7" s="1"/>
  <c r="M79" i="7" s="1"/>
  <c r="I79" i="7"/>
  <c r="J78" i="7" a="1"/>
  <c r="J78" i="7" s="1"/>
  <c r="K78" i="7" s="1"/>
  <c r="I78" i="7"/>
  <c r="J77" i="7" a="1"/>
  <c r="J77" i="7" s="1"/>
  <c r="K77" i="7" s="1"/>
  <c r="I77" i="7"/>
  <c r="J76" i="7" a="1"/>
  <c r="J76" i="7" s="1"/>
  <c r="K76" i="7" s="1"/>
  <c r="I76" i="7"/>
  <c r="J75" i="7" a="1"/>
  <c r="J75" i="7" s="1"/>
  <c r="K75" i="7" s="1"/>
  <c r="N75" i="7" s="1" a="1"/>
  <c r="N75" i="7" s="1"/>
  <c r="O75" i="7" s="1"/>
  <c r="I75" i="7"/>
  <c r="J74" i="7" a="1"/>
  <c r="J74" i="7" s="1"/>
  <c r="K74" i="7" s="1"/>
  <c r="I74" i="7"/>
  <c r="J73" i="7" a="1"/>
  <c r="J73" i="7" s="1"/>
  <c r="K73" i="7" s="1"/>
  <c r="N73" i="7" s="1" a="1"/>
  <c r="N73" i="7" s="1"/>
  <c r="O73" i="7" s="1"/>
  <c r="I73" i="7"/>
  <c r="J72" i="7" a="1"/>
  <c r="J72" i="7" s="1"/>
  <c r="K72" i="7" s="1"/>
  <c r="I72" i="7"/>
  <c r="J71" i="7" a="1"/>
  <c r="J71" i="7" s="1"/>
  <c r="K71" i="7" s="1"/>
  <c r="N71" i="7" s="1" a="1"/>
  <c r="N71" i="7" s="1"/>
  <c r="O71" i="7" s="1"/>
  <c r="I71" i="7"/>
  <c r="J70" i="7" a="1"/>
  <c r="J70" i="7" s="1"/>
  <c r="K70" i="7" s="1"/>
  <c r="I70" i="7"/>
  <c r="J69" i="7" a="1"/>
  <c r="J69" i="7" s="1"/>
  <c r="K69" i="7" s="1"/>
  <c r="I69" i="7"/>
  <c r="J68" i="7" a="1"/>
  <c r="J68" i="7" s="1"/>
  <c r="K68" i="7" s="1"/>
  <c r="I68" i="7"/>
  <c r="J67" i="7" a="1"/>
  <c r="J67" i="7" s="1"/>
  <c r="K67" i="7" s="1"/>
  <c r="M67" i="7" s="1"/>
  <c r="I67" i="7"/>
  <c r="J66" i="7" a="1"/>
  <c r="J66" i="7" s="1"/>
  <c r="K66" i="7" s="1"/>
  <c r="I66" i="7"/>
  <c r="J65" i="7" a="1"/>
  <c r="J65" i="7" s="1"/>
  <c r="K65" i="7" s="1"/>
  <c r="I65" i="7"/>
  <c r="J64" i="7" a="1"/>
  <c r="J64" i="7" s="1"/>
  <c r="K64" i="7" s="1"/>
  <c r="I64" i="7"/>
  <c r="J63" i="7" a="1"/>
  <c r="J63" i="7" s="1"/>
  <c r="K63" i="7" s="1"/>
  <c r="M63" i="7" s="1"/>
  <c r="I63" i="7"/>
  <c r="J62" i="7" a="1"/>
  <c r="J62" i="7" s="1"/>
  <c r="K62" i="7" s="1"/>
  <c r="I62" i="7"/>
  <c r="J61" i="7" a="1"/>
  <c r="J61" i="7" s="1"/>
  <c r="K61" i="7" s="1"/>
  <c r="I61" i="7"/>
  <c r="J60" i="7" a="1"/>
  <c r="J60" i="7" s="1"/>
  <c r="J114" i="7" s="1"/>
  <c r="N114" i="7" s="1"/>
  <c r="O114" i="7" s="1"/>
  <c r="I60" i="7"/>
  <c r="J59" i="7" a="1"/>
  <c r="J59" i="7" s="1"/>
  <c r="K59" i="7" s="1"/>
  <c r="N59" i="7" s="1" a="1"/>
  <c r="N59" i="7" s="1"/>
  <c r="O59" i="7" s="1"/>
  <c r="I59" i="7"/>
  <c r="L58" i="7"/>
  <c r="J54" i="7" a="1"/>
  <c r="J54" i="7" s="1"/>
  <c r="K54" i="7" s="1"/>
  <c r="I54" i="7"/>
  <c r="J53" i="7" a="1"/>
  <c r="J53" i="7" s="1"/>
  <c r="K53" i="7" s="1"/>
  <c r="L53" i="7" s="1"/>
  <c r="I53" i="7"/>
  <c r="J52" i="7" a="1"/>
  <c r="J52" i="7" s="1"/>
  <c r="K52" i="7" s="1"/>
  <c r="M52" i="7" s="1"/>
  <c r="I52" i="7"/>
  <c r="J51" i="7" a="1"/>
  <c r="J51" i="7" s="1"/>
  <c r="K51" i="7" s="1"/>
  <c r="N51" i="7" s="1" a="1"/>
  <c r="N51" i="7" s="1"/>
  <c r="O51" i="7" s="1"/>
  <c r="I51" i="7"/>
  <c r="J50" i="7" a="1"/>
  <c r="J50" i="7" s="1"/>
  <c r="K50" i="7" s="1"/>
  <c r="I50" i="7"/>
  <c r="J49" i="7" a="1"/>
  <c r="J49" i="7" s="1"/>
  <c r="K49" i="7" s="1"/>
  <c r="I49" i="7"/>
  <c r="L48" i="7"/>
  <c r="J44" i="7" a="1"/>
  <c r="J44" i="7" s="1"/>
  <c r="K44" i="7" s="1"/>
  <c r="L44" i="7" s="1"/>
  <c r="I44" i="7"/>
  <c r="J43" i="7" a="1"/>
  <c r="J43" i="7" s="1"/>
  <c r="K43" i="7" s="1"/>
  <c r="I43" i="7"/>
  <c r="J42" i="7" a="1"/>
  <c r="J42" i="7" s="1"/>
  <c r="K42" i="7" s="1"/>
  <c r="L42" i="7" s="1"/>
  <c r="I42" i="7"/>
  <c r="J41" i="7" a="1"/>
  <c r="J41" i="7" s="1"/>
  <c r="K41" i="7" s="1"/>
  <c r="I41" i="7"/>
  <c r="J40" i="7" a="1"/>
  <c r="J40" i="7" s="1"/>
  <c r="K40" i="7" s="1"/>
  <c r="I40" i="7"/>
  <c r="J39" i="7" a="1"/>
  <c r="J39" i="7" s="1"/>
  <c r="K39" i="7" s="1"/>
  <c r="I39" i="7"/>
  <c r="J38" i="7" a="1"/>
  <c r="J38" i="7" s="1"/>
  <c r="K38" i="7" s="1"/>
  <c r="I38" i="7"/>
  <c r="J37" i="7" a="1"/>
  <c r="J37" i="7" s="1"/>
  <c r="K37" i="7" s="1"/>
  <c r="N37" i="7" s="1" a="1"/>
  <c r="N37" i="7" s="1"/>
  <c r="O37" i="7" s="1"/>
  <c r="I37" i="7"/>
  <c r="J36" i="7" a="1"/>
  <c r="J36" i="7" s="1"/>
  <c r="K36" i="7" s="1"/>
  <c r="I36" i="7"/>
  <c r="J35" i="7" a="1"/>
  <c r="J35" i="7" s="1"/>
  <c r="K35" i="7" s="1"/>
  <c r="N35" i="7" s="1" a="1"/>
  <c r="N35" i="7" s="1"/>
  <c r="O35" i="7" s="1"/>
  <c r="I35" i="7"/>
  <c r="J34" i="7" a="1"/>
  <c r="J34" i="7" s="1"/>
  <c r="K34" i="7" s="1"/>
  <c r="I34" i="7"/>
  <c r="J33" i="7" a="1"/>
  <c r="J33" i="7" s="1"/>
  <c r="K33" i="7" s="1"/>
  <c r="I33" i="7"/>
  <c r="J32" i="7" a="1"/>
  <c r="J32" i="7" s="1"/>
  <c r="K32" i="7" s="1"/>
  <c r="I32" i="7"/>
  <c r="J31" i="7" a="1"/>
  <c r="J31" i="7" s="1"/>
  <c r="K31" i="7" s="1"/>
  <c r="I31" i="7"/>
  <c r="L30" i="7"/>
  <c r="J26" i="7" a="1"/>
  <c r="J26" i="7" s="1"/>
  <c r="K26" i="7" s="1"/>
  <c r="I26" i="7"/>
  <c r="J25" i="7"/>
  <c r="K25" i="7" s="1"/>
  <c r="J25" i="7" a="1"/>
  <c r="I25" i="7"/>
  <c r="S24" i="7"/>
  <c r="J24" i="7" a="1"/>
  <c r="J24" i="7" s="1"/>
  <c r="K24" i="7" s="1"/>
  <c r="L24" i="7" s="1"/>
  <c r="I24" i="7"/>
  <c r="Y23" i="7"/>
  <c r="W23" i="7"/>
  <c r="V23" i="7"/>
  <c r="S23" i="7"/>
  <c r="J23" i="7"/>
  <c r="K23" i="7" s="1"/>
  <c r="J23" i="7" a="1"/>
  <c r="I23" i="7"/>
  <c r="Y22" i="7"/>
  <c r="W22" i="7"/>
  <c r="V22" i="7"/>
  <c r="S22" i="7"/>
  <c r="J22" i="7" a="1"/>
  <c r="J22" i="7" s="1"/>
  <c r="K22" i="7" s="1"/>
  <c r="I22" i="7"/>
  <c r="Y21" i="7"/>
  <c r="Z21" i="7" s="1"/>
  <c r="W21" i="7"/>
  <c r="X21" i="7" s="1"/>
  <c r="V21" i="7"/>
  <c r="S21" i="7"/>
  <c r="J21" i="7" a="1"/>
  <c r="J21" i="7" s="1"/>
  <c r="K21" i="7" s="1"/>
  <c r="I21" i="7"/>
  <c r="V20" i="7"/>
  <c r="S20" i="7"/>
  <c r="J20" i="7" a="1"/>
  <c r="J20" i="7" s="1"/>
  <c r="K20" i="7" s="1"/>
  <c r="I20" i="7"/>
  <c r="W19" i="7"/>
  <c r="V19" i="7"/>
  <c r="S19" i="7"/>
  <c r="J19" i="7" a="1"/>
  <c r="J19" i="7" s="1"/>
  <c r="K19" i="7" s="1"/>
  <c r="I19" i="7"/>
  <c r="V18" i="7"/>
  <c r="S18" i="7"/>
  <c r="J18" i="7" a="1"/>
  <c r="J18" i="7" s="1"/>
  <c r="K18" i="7" s="1"/>
  <c r="I18" i="7"/>
  <c r="V17" i="7"/>
  <c r="S17" i="7"/>
  <c r="J17" i="7" a="1"/>
  <c r="J17" i="7" s="1"/>
  <c r="K17" i="7" s="1"/>
  <c r="I17" i="7"/>
  <c r="Y16" i="7"/>
  <c r="W16" i="7"/>
  <c r="V16" i="7"/>
  <c r="S16" i="7"/>
  <c r="J16" i="7" a="1"/>
  <c r="J16" i="7" s="1"/>
  <c r="K16" i="7" s="1"/>
  <c r="I16" i="7"/>
  <c r="Y15" i="7"/>
  <c r="W15" i="7"/>
  <c r="V15" i="7"/>
  <c r="S15" i="7"/>
  <c r="J15" i="7" a="1"/>
  <c r="J15" i="7" s="1"/>
  <c r="K15" i="7" s="1"/>
  <c r="N15" i="7" s="1" a="1"/>
  <c r="N15" i="7" s="1"/>
  <c r="O15" i="7" s="1"/>
  <c r="I15" i="7"/>
  <c r="Y14" i="7"/>
  <c r="W14" i="7"/>
  <c r="V14" i="7"/>
  <c r="S14" i="7"/>
  <c r="J14" i="7" a="1"/>
  <c r="J14" i="7" s="1"/>
  <c r="K14" i="7" s="1"/>
  <c r="I14" i="7"/>
  <c r="W13" i="7"/>
  <c r="V13" i="7"/>
  <c r="S13" i="7"/>
  <c r="J13" i="7" a="1"/>
  <c r="J13" i="7" s="1"/>
  <c r="K13" i="7" s="1"/>
  <c r="I13" i="7"/>
  <c r="Y12" i="7"/>
  <c r="W12" i="7"/>
  <c r="V12" i="7"/>
  <c r="S12" i="7"/>
  <c r="J12" i="7" a="1"/>
  <c r="J12" i="7" s="1"/>
  <c r="K12" i="7" s="1"/>
  <c r="L12" i="7" s="1"/>
  <c r="I12" i="7"/>
  <c r="V11" i="7"/>
  <c r="S11" i="7"/>
  <c r="J11" i="7" a="1"/>
  <c r="J11" i="7" s="1"/>
  <c r="K11" i="7" s="1"/>
  <c r="I11" i="7"/>
  <c r="V10" i="7"/>
  <c r="S10" i="7"/>
  <c r="J10" i="7" a="1"/>
  <c r="J10" i="7" s="1"/>
  <c r="K10" i="7" s="1"/>
  <c r="I10" i="7"/>
  <c r="J9" i="7" a="1"/>
  <c r="J9" i="7" s="1"/>
  <c r="K9" i="7" s="1"/>
  <c r="L9" i="7" s="1"/>
  <c r="I9" i="7"/>
  <c r="J8" i="7" a="1"/>
  <c r="J8" i="7" s="1"/>
  <c r="K8" i="7" s="1"/>
  <c r="I8" i="7"/>
  <c r="J7" i="7" a="1"/>
  <c r="J7" i="7" s="1"/>
  <c r="K7" i="7" s="1"/>
  <c r="I7" i="7"/>
  <c r="J6" i="7" a="1"/>
  <c r="J6" i="7" s="1"/>
  <c r="K6" i="7" s="1"/>
  <c r="I6" i="7"/>
  <c r="S23" i="2"/>
  <c r="S22" i="2"/>
  <c r="S21" i="2"/>
  <c r="J106" i="2" a="1"/>
  <c r="J106" i="2" s="1"/>
  <c r="J105" i="2" a="1"/>
  <c r="J105" i="2" s="1"/>
  <c r="J104" i="2" a="1"/>
  <c r="J104" i="2" s="1"/>
  <c r="J103" i="2" a="1"/>
  <c r="J103" i="2" s="1"/>
  <c r="J98" i="2" a="1"/>
  <c r="J98" i="2" s="1"/>
  <c r="J97" i="2" a="1"/>
  <c r="J97" i="2" s="1"/>
  <c r="J96" i="2" a="1"/>
  <c r="J96" i="2" s="1"/>
  <c r="J95" i="2" a="1"/>
  <c r="J95" i="2" s="1"/>
  <c r="J90" i="2" a="1"/>
  <c r="J90" i="2" s="1"/>
  <c r="J89" i="2" a="1"/>
  <c r="J89" i="2" s="1"/>
  <c r="J88" i="2" a="1"/>
  <c r="J88" i="2" s="1"/>
  <c r="J87" i="2" a="1"/>
  <c r="J87" i="2" s="1"/>
  <c r="J86" i="2" a="1"/>
  <c r="J86" i="2" s="1"/>
  <c r="J85" i="2" a="1"/>
  <c r="J85" i="2" s="1"/>
  <c r="J84" i="2" a="1"/>
  <c r="J84" i="2" s="1"/>
  <c r="J83" i="2" a="1"/>
  <c r="J83" i="2" s="1"/>
  <c r="J82" i="2" a="1"/>
  <c r="J82" i="2" s="1"/>
  <c r="J81" i="2" a="1"/>
  <c r="J81" i="2" s="1"/>
  <c r="J80" i="2" a="1"/>
  <c r="J80" i="2" s="1"/>
  <c r="J79" i="2" a="1"/>
  <c r="J79" i="2" s="1"/>
  <c r="J78" i="2" a="1"/>
  <c r="J78" i="2" s="1"/>
  <c r="J77" i="2" a="1"/>
  <c r="J77" i="2" s="1"/>
  <c r="J76" i="2" a="1"/>
  <c r="J76" i="2" s="1"/>
  <c r="J75" i="2" a="1"/>
  <c r="J75" i="2" s="1"/>
  <c r="J74" i="2" a="1"/>
  <c r="J74" i="2" s="1"/>
  <c r="J73" i="2" a="1"/>
  <c r="J73" i="2" s="1"/>
  <c r="J72" i="2" a="1"/>
  <c r="J72" i="2" s="1"/>
  <c r="J71" i="2" a="1"/>
  <c r="J71" i="2" s="1"/>
  <c r="J70" i="2" a="1"/>
  <c r="J70" i="2" s="1"/>
  <c r="J69" i="2" a="1"/>
  <c r="J69" i="2" s="1"/>
  <c r="J68" i="2" a="1"/>
  <c r="J68" i="2" s="1"/>
  <c r="J67" i="2" a="1"/>
  <c r="J67" i="2" s="1"/>
  <c r="J66" i="2" a="1"/>
  <c r="J66" i="2" s="1"/>
  <c r="J65" i="2" a="1"/>
  <c r="J65" i="2" s="1"/>
  <c r="J64" i="2" a="1"/>
  <c r="J64" i="2" s="1"/>
  <c r="J59" i="2" a="1"/>
  <c r="J59" i="2" s="1"/>
  <c r="J58" i="2" a="1"/>
  <c r="J58" i="2" s="1"/>
  <c r="J52" i="2" a="1"/>
  <c r="J52" i="2" s="1"/>
  <c r="J51" i="2" a="1"/>
  <c r="J51" i="2" s="1"/>
  <c r="J50" i="2" a="1"/>
  <c r="J50" i="2" s="1"/>
  <c r="J49" i="2" a="1"/>
  <c r="J49" i="2" s="1"/>
  <c r="J44" i="2" a="1"/>
  <c r="J44" i="2" s="1"/>
  <c r="J43" i="2" a="1"/>
  <c r="J43" i="2" s="1"/>
  <c r="J42" i="2" a="1"/>
  <c r="J42" i="2" s="1"/>
  <c r="J41" i="2" a="1"/>
  <c r="J41" i="2" s="1"/>
  <c r="J40" i="2" a="1"/>
  <c r="J40" i="2" s="1"/>
  <c r="J39" i="2" a="1"/>
  <c r="J39" i="2" s="1"/>
  <c r="J38" i="2" a="1"/>
  <c r="J38" i="2" s="1"/>
  <c r="J37" i="2" a="1"/>
  <c r="J37" i="2" s="1"/>
  <c r="J36" i="2" a="1"/>
  <c r="J36" i="2" s="1"/>
  <c r="J35" i="2" a="1"/>
  <c r="J35" i="2" s="1"/>
  <c r="J34" i="2" a="1"/>
  <c r="J34" i="2" s="1"/>
  <c r="J33" i="2" a="1"/>
  <c r="J33" i="2" s="1"/>
  <c r="J31" i="2" a="1"/>
  <c r="J31" i="2" s="1"/>
  <c r="J26" i="2" a="1"/>
  <c r="J26" i="2" s="1"/>
  <c r="J25" i="2" a="1"/>
  <c r="J25" i="2" s="1"/>
  <c r="J24" i="2" a="1"/>
  <c r="J24" i="2" s="1"/>
  <c r="J23" i="2" a="1"/>
  <c r="J23" i="2" s="1"/>
  <c r="J22" i="2" a="1"/>
  <c r="J22" i="2" s="1"/>
  <c r="J21" i="2" a="1"/>
  <c r="J21" i="2" s="1"/>
  <c r="J20" i="2" a="1"/>
  <c r="J20" i="2" s="1"/>
  <c r="J19" i="2" a="1"/>
  <c r="J19" i="2" s="1"/>
  <c r="J18" i="2" a="1"/>
  <c r="J18" i="2" s="1"/>
  <c r="J17" i="2" a="1"/>
  <c r="J17" i="2" s="1"/>
  <c r="J16" i="2" a="1"/>
  <c r="J16" i="2" s="1"/>
  <c r="J15" i="2" a="1"/>
  <c r="J15" i="2" s="1"/>
  <c r="J14" i="2" a="1"/>
  <c r="J14" i="2" s="1"/>
  <c r="J13" i="2" a="1"/>
  <c r="J13" i="2" s="1"/>
  <c r="J12" i="2" a="1"/>
  <c r="J12" i="2" s="1"/>
  <c r="J11" i="2" a="1"/>
  <c r="J11" i="2" s="1"/>
  <c r="J10" i="2" a="1"/>
  <c r="J10" i="2" s="1"/>
  <c r="J9" i="2" a="1"/>
  <c r="J9" i="2" s="1"/>
  <c r="J8" i="2" a="1"/>
  <c r="J8" i="2" s="1"/>
  <c r="J7" i="2" a="1"/>
  <c r="J7" i="2" s="1"/>
  <c r="J6" i="2" a="1"/>
  <c r="J6" i="2" s="1"/>
  <c r="W23" i="2"/>
  <c r="W22" i="2"/>
  <c r="W21" i="2"/>
  <c r="W19" i="2"/>
  <c r="W17" i="2"/>
  <c r="W16" i="2"/>
  <c r="W15" i="2"/>
  <c r="W14" i="2"/>
  <c r="W13" i="2"/>
  <c r="W12" i="2"/>
  <c r="Y23" i="2"/>
  <c r="Y22" i="2"/>
  <c r="Y21" i="2"/>
  <c r="Y16" i="2"/>
  <c r="Y15" i="2"/>
  <c r="Y14" i="2"/>
  <c r="Y12" i="2"/>
  <c r="V22" i="2"/>
  <c r="V23" i="2"/>
  <c r="V13" i="2"/>
  <c r="V14" i="2"/>
  <c r="V15" i="2"/>
  <c r="V16" i="2"/>
  <c r="V17" i="2"/>
  <c r="V18" i="2"/>
  <c r="V19" i="2"/>
  <c r="V20" i="2"/>
  <c r="V21" i="2"/>
  <c r="M53" i="2" l="1"/>
  <c r="M57" i="2"/>
  <c r="N57" i="2" a="1"/>
  <c r="N57" i="2" s="1"/>
  <c r="O57" i="2" s="1"/>
  <c r="M55" i="2"/>
  <c r="M56" i="2"/>
  <c r="N54" i="2" a="1"/>
  <c r="N54" i="2" s="1"/>
  <c r="O54" i="2" s="1"/>
  <c r="M32" i="2"/>
  <c r="L32" i="2"/>
  <c r="M49" i="7"/>
  <c r="L49" i="7"/>
  <c r="L23" i="7"/>
  <c r="N23" i="7" a="1"/>
  <c r="N23" i="7" s="1"/>
  <c r="O23" i="7" s="1"/>
  <c r="L36" i="7"/>
  <c r="N36" i="7" a="1"/>
  <c r="N36" i="7" s="1"/>
  <c r="O36" i="7" s="1"/>
  <c r="M36" i="7"/>
  <c r="M23" i="7"/>
  <c r="N65" i="7" a="1"/>
  <c r="N65" i="7" s="1"/>
  <c r="O65" i="7" s="1"/>
  <c r="M65" i="7"/>
  <c r="L65" i="7"/>
  <c r="X19" i="7"/>
  <c r="M22" i="7"/>
  <c r="L22" i="7"/>
  <c r="M74" i="7"/>
  <c r="L74" i="7"/>
  <c r="N81" i="7" a="1"/>
  <c r="N81" i="7" s="1"/>
  <c r="O81" i="7" s="1"/>
  <c r="M81" i="7"/>
  <c r="L81" i="7"/>
  <c r="I86" i="7"/>
  <c r="X17" i="7"/>
  <c r="X15" i="7"/>
  <c r="M44" i="7"/>
  <c r="Z15" i="7"/>
  <c r="X23" i="7"/>
  <c r="N44" i="7" a="1"/>
  <c r="N44" i="7" s="1"/>
  <c r="O44" i="7" s="1"/>
  <c r="I27" i="7"/>
  <c r="Z23" i="7"/>
  <c r="K118" i="7"/>
  <c r="L71" i="7"/>
  <c r="L83" i="7"/>
  <c r="M71" i="7"/>
  <c r="X22" i="7"/>
  <c r="I45" i="7"/>
  <c r="X14" i="7"/>
  <c r="Z16" i="7"/>
  <c r="Z22" i="7"/>
  <c r="L67" i="7"/>
  <c r="Z12" i="7"/>
  <c r="I55" i="7"/>
  <c r="Z22" i="2"/>
  <c r="X13" i="2"/>
  <c r="X23" i="2"/>
  <c r="N7" i="7" a="1"/>
  <c r="N7" i="7" s="1"/>
  <c r="O7" i="7" s="1"/>
  <c r="M7" i="7"/>
  <c r="L7" i="7"/>
  <c r="N11" i="7" a="1"/>
  <c r="N11" i="7" s="1"/>
  <c r="O11" i="7" s="1"/>
  <c r="M11" i="7"/>
  <c r="L11" i="7"/>
  <c r="N20" i="7" a="1"/>
  <c r="N20" i="7" s="1"/>
  <c r="O20" i="7" s="1"/>
  <c r="L20" i="7"/>
  <c r="M20" i="7"/>
  <c r="N31" i="7" a="1"/>
  <c r="N31" i="7" s="1"/>
  <c r="O31" i="7" s="1"/>
  <c r="M31" i="7"/>
  <c r="L31" i="7"/>
  <c r="L17" i="7"/>
  <c r="M17" i="7"/>
  <c r="N17" i="7" a="1"/>
  <c r="N17" i="7" s="1"/>
  <c r="O17" i="7" s="1"/>
  <c r="N78" i="7" a="1"/>
  <c r="N78" i="7" s="1"/>
  <c r="O78" i="7" s="1"/>
  <c r="L78" i="7"/>
  <c r="M78" i="7"/>
  <c r="L19" i="7"/>
  <c r="N19" i="7" a="1"/>
  <c r="N19" i="7" s="1"/>
  <c r="O19" i="7" s="1"/>
  <c r="M19" i="7"/>
  <c r="N33" i="7" a="1"/>
  <c r="N33" i="7" s="1"/>
  <c r="O33" i="7" s="1"/>
  <c r="M33" i="7"/>
  <c r="L33" i="7"/>
  <c r="N64" i="7" a="1"/>
  <c r="N64" i="7" s="1"/>
  <c r="O64" i="7" s="1"/>
  <c r="M64" i="7"/>
  <c r="L64" i="7"/>
  <c r="N82" i="7" a="1"/>
  <c r="N82" i="7" s="1"/>
  <c r="O82" i="7" s="1"/>
  <c r="M82" i="7"/>
  <c r="L82" i="7"/>
  <c r="N10" i="7" a="1"/>
  <c r="N10" i="7" s="1"/>
  <c r="O10" i="7" s="1"/>
  <c r="M10" i="7"/>
  <c r="L10" i="7"/>
  <c r="L21" i="7"/>
  <c r="N21" i="7" a="1"/>
  <c r="N21" i="7" s="1"/>
  <c r="O21" i="7" s="1"/>
  <c r="M21" i="7"/>
  <c r="N41" i="7" a="1"/>
  <c r="N41" i="7" s="1"/>
  <c r="O41" i="7" s="1"/>
  <c r="M41" i="7"/>
  <c r="L41" i="7"/>
  <c r="N68" i="7" a="1"/>
  <c r="N68" i="7" s="1"/>
  <c r="O68" i="7" s="1"/>
  <c r="M68" i="7"/>
  <c r="L68" i="7"/>
  <c r="N98" i="7" a="1"/>
  <c r="N98" i="7" s="1"/>
  <c r="O98" i="7" s="1"/>
  <c r="M98" i="7"/>
  <c r="L98" i="7"/>
  <c r="N14" i="7" a="1"/>
  <c r="N14" i="7" s="1"/>
  <c r="O14" i="7" s="1"/>
  <c r="M14" i="7"/>
  <c r="L14" i="7"/>
  <c r="L26" i="7"/>
  <c r="N26" i="7" a="1"/>
  <c r="N26" i="7" s="1"/>
  <c r="O26" i="7" s="1"/>
  <c r="M26" i="7"/>
  <c r="L34" i="7"/>
  <c r="M34" i="7"/>
  <c r="N34" i="7" a="1"/>
  <c r="N34" i="7" s="1"/>
  <c r="O34" i="7" s="1"/>
  <c r="M99" i="7"/>
  <c r="L99" i="7"/>
  <c r="N99" i="7" a="1"/>
  <c r="N99" i="7" s="1"/>
  <c r="O99" i="7" s="1"/>
  <c r="N6" i="7" a="1"/>
  <c r="N6" i="7" s="1"/>
  <c r="O6" i="7" s="1"/>
  <c r="M6" i="7"/>
  <c r="L6" i="7"/>
  <c r="N16" i="7" a="1"/>
  <c r="N16" i="7" s="1"/>
  <c r="O16" i="7" s="1"/>
  <c r="M16" i="7"/>
  <c r="L16" i="7"/>
  <c r="N76" i="7" a="1"/>
  <c r="N76" i="7" s="1"/>
  <c r="O76" i="7" s="1"/>
  <c r="M76" i="7"/>
  <c r="L76" i="7"/>
  <c r="M69" i="7"/>
  <c r="N69" i="7" a="1"/>
  <c r="N69" i="7" s="1"/>
  <c r="O69" i="7" s="1"/>
  <c r="L69" i="7"/>
  <c r="N80" i="7" a="1"/>
  <c r="N80" i="7" s="1"/>
  <c r="O80" i="7" s="1"/>
  <c r="M80" i="7"/>
  <c r="L80" i="7"/>
  <c r="L91" i="7"/>
  <c r="L94" i="7" s="1"/>
  <c r="N91" i="7" a="1"/>
  <c r="N91" i="7" s="1"/>
  <c r="O91" i="7" s="1"/>
  <c r="M91" i="7"/>
  <c r="N18" i="7" a="1"/>
  <c r="N18" i="7" s="1"/>
  <c r="O18" i="7" s="1"/>
  <c r="M18" i="7"/>
  <c r="L18" i="7"/>
  <c r="L38" i="7"/>
  <c r="N38" i="7" a="1"/>
  <c r="N38" i="7" s="1"/>
  <c r="O38" i="7" s="1"/>
  <c r="M38" i="7"/>
  <c r="N70" i="7" a="1"/>
  <c r="N70" i="7" s="1"/>
  <c r="O70" i="7" s="1"/>
  <c r="M70" i="7"/>
  <c r="L70" i="7"/>
  <c r="M43" i="7"/>
  <c r="N43" i="7" a="1"/>
  <c r="N43" i="7" s="1"/>
  <c r="O43" i="7" s="1"/>
  <c r="L43" i="7"/>
  <c r="N13" i="7" a="1"/>
  <c r="N13" i="7" s="1"/>
  <c r="O13" i="7" s="1"/>
  <c r="M13" i="7"/>
  <c r="L13" i="7"/>
  <c r="M50" i="7"/>
  <c r="L50" i="7"/>
  <c r="N50" i="7" a="1"/>
  <c r="N50" i="7" s="1"/>
  <c r="O50" i="7" s="1"/>
  <c r="N62" i="7" a="1"/>
  <c r="N62" i="7" s="1"/>
  <c r="O62" i="7" s="1"/>
  <c r="M62" i="7"/>
  <c r="L62" i="7"/>
  <c r="N66" i="7" a="1"/>
  <c r="N66" i="7" s="1"/>
  <c r="O66" i="7" s="1"/>
  <c r="M66" i="7"/>
  <c r="L66" i="7"/>
  <c r="L85" i="7"/>
  <c r="M85" i="7"/>
  <c r="N85" i="7" a="1"/>
  <c r="N85" i="7" s="1"/>
  <c r="O85" i="7" s="1"/>
  <c r="L8" i="7"/>
  <c r="M8" i="7"/>
  <c r="N8" i="7" a="1"/>
  <c r="N8" i="7" s="1"/>
  <c r="O8" i="7" s="1"/>
  <c r="N39" i="7" a="1"/>
  <c r="N39" i="7" s="1"/>
  <c r="O39" i="7" s="1"/>
  <c r="L39" i="7"/>
  <c r="M39" i="7"/>
  <c r="M101" i="7"/>
  <c r="N101" i="7" a="1"/>
  <c r="N101" i="7" s="1"/>
  <c r="O101" i="7" s="1"/>
  <c r="L101" i="7"/>
  <c r="X16" i="7"/>
  <c r="M42" i="7"/>
  <c r="L51" i="7"/>
  <c r="M12" i="7"/>
  <c r="Z14" i="7"/>
  <c r="L40" i="7"/>
  <c r="N40" i="7" a="1"/>
  <c r="N40" i="7" s="1"/>
  <c r="O40" i="7" s="1"/>
  <c r="M40" i="7"/>
  <c r="N42" i="7" a="1"/>
  <c r="N42" i="7" s="1"/>
  <c r="O42" i="7" s="1"/>
  <c r="M51" i="7"/>
  <c r="M53" i="7"/>
  <c r="N12" i="7" a="1"/>
  <c r="N12" i="7" s="1"/>
  <c r="O12" i="7" s="1"/>
  <c r="N79" i="7" a="1"/>
  <c r="N79" i="7" s="1"/>
  <c r="O79" i="7" s="1"/>
  <c r="N63" i="7" a="1"/>
  <c r="N63" i="7" s="1"/>
  <c r="O63" i="7" s="1"/>
  <c r="N49" i="7" a="1"/>
  <c r="N49" i="7" s="1"/>
  <c r="O49" i="7" s="1"/>
  <c r="N53" i="7" a="1"/>
  <c r="N53" i="7" s="1"/>
  <c r="O53" i="7" s="1"/>
  <c r="M59" i="7"/>
  <c r="N83" i="7" a="1"/>
  <c r="N83" i="7" s="1"/>
  <c r="O83" i="7" s="1"/>
  <c r="N100" i="7" a="1"/>
  <c r="N100" i="7" s="1"/>
  <c r="O100" i="7" s="1"/>
  <c r="M100" i="7"/>
  <c r="L100" i="7"/>
  <c r="J110" i="7"/>
  <c r="M110" i="7" s="1"/>
  <c r="M114" i="7"/>
  <c r="L59" i="7"/>
  <c r="N24" i="7" a="1"/>
  <c r="N24" i="7" s="1"/>
  <c r="O24" i="7" s="1"/>
  <c r="M24" i="7"/>
  <c r="I102" i="7"/>
  <c r="N61" i="7" a="1"/>
  <c r="N61" i="7" s="1"/>
  <c r="O61" i="7" s="1"/>
  <c r="M61" i="7"/>
  <c r="L61" i="7"/>
  <c r="L15" i="7"/>
  <c r="M15" i="7"/>
  <c r="L52" i="7"/>
  <c r="N84" i="7" a="1"/>
  <c r="N84" i="7" s="1"/>
  <c r="O84" i="7" s="1"/>
  <c r="M84" i="7"/>
  <c r="L84" i="7"/>
  <c r="L92" i="7"/>
  <c r="N9" i="7" a="1"/>
  <c r="N9" i="7" s="1"/>
  <c r="O9" i="7" s="1"/>
  <c r="X12" i="7"/>
  <c r="L32" i="7"/>
  <c r="M32" i="7"/>
  <c r="L37" i="7"/>
  <c r="N52" i="7" a="1"/>
  <c r="N52" i="7" s="1"/>
  <c r="O52" i="7" s="1"/>
  <c r="M73" i="7"/>
  <c r="L75" i="7"/>
  <c r="N90" i="7" a="1"/>
  <c r="N90" i="7" s="1"/>
  <c r="O90" i="7" s="1"/>
  <c r="M90" i="7"/>
  <c r="M92" i="7"/>
  <c r="J115" i="7"/>
  <c r="M115" i="7" s="1"/>
  <c r="J116" i="7"/>
  <c r="M116" i="7" s="1"/>
  <c r="J112" i="7"/>
  <c r="M112" i="7" s="1"/>
  <c r="J109" i="7"/>
  <c r="M109" i="7" s="1"/>
  <c r="M9" i="7"/>
  <c r="K60" i="7"/>
  <c r="M35" i="7"/>
  <c r="L35" i="7"/>
  <c r="N77" i="7" a="1"/>
  <c r="N77" i="7" s="1"/>
  <c r="O77" i="7" s="1"/>
  <c r="M77" i="7"/>
  <c r="L77" i="7"/>
  <c r="L73" i="7"/>
  <c r="N25" i="7" a="1"/>
  <c r="N25" i="7" s="1"/>
  <c r="O25" i="7" s="1"/>
  <c r="X13" i="7"/>
  <c r="L25" i="7"/>
  <c r="M54" i="7"/>
  <c r="L54" i="7"/>
  <c r="N54" i="7" a="1"/>
  <c r="N54" i="7" s="1"/>
  <c r="O54" i="7" s="1"/>
  <c r="J111" i="7"/>
  <c r="N32" i="7" a="1"/>
  <c r="N32" i="7" s="1"/>
  <c r="O32" i="7" s="1"/>
  <c r="M37" i="7"/>
  <c r="M75" i="7"/>
  <c r="N22" i="7" a="1"/>
  <c r="N22" i="7" s="1"/>
  <c r="O22" i="7" s="1"/>
  <c r="M25" i="7"/>
  <c r="N67" i="7" a="1"/>
  <c r="N67" i="7" s="1"/>
  <c r="O67" i="7" s="1"/>
  <c r="J113" i="7"/>
  <c r="M93" i="7"/>
  <c r="L63" i="7"/>
  <c r="L79" i="7"/>
  <c r="N93" i="7" a="1"/>
  <c r="N93" i="7" s="1"/>
  <c r="O93" i="7" s="1"/>
  <c r="N72" i="7" a="1"/>
  <c r="N72" i="7" s="1"/>
  <c r="O72" i="7" s="1"/>
  <c r="M72" i="7"/>
  <c r="L72" i="7"/>
  <c r="N74" i="7" a="1"/>
  <c r="N74" i="7" s="1"/>
  <c r="O74" i="7" s="1"/>
  <c r="Z23" i="2"/>
  <c r="X22" i="2"/>
  <c r="Z14" i="2"/>
  <c r="Z15" i="2"/>
  <c r="X14" i="2"/>
  <c r="Z16" i="2"/>
  <c r="X15" i="2"/>
  <c r="X16" i="2"/>
  <c r="X17" i="2"/>
  <c r="X21" i="2"/>
  <c r="X19" i="2"/>
  <c r="Z21" i="2"/>
  <c r="O94" i="7" l="1"/>
  <c r="M45" i="7"/>
  <c r="M55" i="7"/>
  <c r="M27" i="7"/>
  <c r="M102" i="7"/>
  <c r="L102" i="7"/>
  <c r="L55" i="7"/>
  <c r="O45" i="7"/>
  <c r="O102" i="7"/>
  <c r="L45" i="7"/>
  <c r="M94" i="7"/>
  <c r="N111" i="7"/>
  <c r="O111" i="7" s="1"/>
  <c r="K111" i="7"/>
  <c r="M111" i="7"/>
  <c r="N60" i="7" a="1"/>
  <c r="N60" i="7" s="1"/>
  <c r="O60" i="7" s="1"/>
  <c r="O86" i="7" s="1"/>
  <c r="M60" i="7"/>
  <c r="M86" i="7" s="1"/>
  <c r="L60" i="7"/>
  <c r="L86" i="7" s="1"/>
  <c r="N110" i="7"/>
  <c r="O110" i="7" s="1"/>
  <c r="K110" i="7"/>
  <c r="N109" i="7"/>
  <c r="O109" i="7" s="1"/>
  <c r="K109" i="7"/>
  <c r="N113" i="7"/>
  <c r="O113" i="7" s="1"/>
  <c r="K113" i="7"/>
  <c r="M113" i="7"/>
  <c r="N112" i="7"/>
  <c r="O112" i="7" s="1"/>
  <c r="K112" i="7"/>
  <c r="O55" i="7"/>
  <c r="O27" i="7"/>
  <c r="N116" i="7"/>
  <c r="O116" i="7" s="1"/>
  <c r="K116" i="7"/>
  <c r="N115" i="7"/>
  <c r="O115" i="7" s="1"/>
  <c r="K115" i="7"/>
  <c r="L27" i="7"/>
  <c r="L28" i="7" s="1"/>
  <c r="S10" i="2" l="1"/>
  <c r="V12" i="2" l="1"/>
  <c r="Z12" i="2" s="1"/>
  <c r="V11" i="2"/>
  <c r="V10" i="2"/>
  <c r="S24" i="2"/>
  <c r="N32" i="2" s="1" a="1"/>
  <c r="N32" i="2" s="1"/>
  <c r="O32" i="2" s="1"/>
  <c r="S20" i="2"/>
  <c r="S13" i="2"/>
  <c r="S18" i="2"/>
  <c r="S19" i="2"/>
  <c r="S17" i="2"/>
  <c r="S16" i="2"/>
  <c r="S15" i="2"/>
  <c r="S14" i="2"/>
  <c r="S12" i="2"/>
  <c r="S11" i="2"/>
  <c r="K105" i="2"/>
  <c r="I105" i="2"/>
  <c r="K104" i="2"/>
  <c r="I104" i="2"/>
  <c r="K97" i="2"/>
  <c r="I97" i="2"/>
  <c r="K96" i="2"/>
  <c r="I96" i="2"/>
  <c r="K89" i="2"/>
  <c r="I89" i="2"/>
  <c r="K88" i="2"/>
  <c r="I88" i="2"/>
  <c r="K87" i="2"/>
  <c r="I87" i="2"/>
  <c r="K86" i="2"/>
  <c r="I86" i="2"/>
  <c r="K85" i="2"/>
  <c r="I85" i="2"/>
  <c r="K84" i="2"/>
  <c r="I84" i="2"/>
  <c r="K83" i="2"/>
  <c r="I83" i="2"/>
  <c r="K82" i="2"/>
  <c r="I82" i="2"/>
  <c r="K81" i="2"/>
  <c r="I81" i="2"/>
  <c r="K80" i="2"/>
  <c r="I80" i="2"/>
  <c r="K79" i="2"/>
  <c r="I79" i="2"/>
  <c r="K78" i="2"/>
  <c r="I78" i="2"/>
  <c r="K77" i="2"/>
  <c r="I77" i="2"/>
  <c r="K76" i="2"/>
  <c r="I76" i="2"/>
  <c r="K75" i="2"/>
  <c r="I75" i="2"/>
  <c r="K74" i="2"/>
  <c r="I74" i="2"/>
  <c r="K73" i="2"/>
  <c r="I73" i="2"/>
  <c r="K72" i="2"/>
  <c r="I72" i="2"/>
  <c r="K71" i="2"/>
  <c r="I71" i="2"/>
  <c r="K70" i="2"/>
  <c r="I70" i="2"/>
  <c r="K69" i="2"/>
  <c r="I69" i="2"/>
  <c r="K68" i="2"/>
  <c r="I68" i="2"/>
  <c r="K67" i="2"/>
  <c r="I67" i="2"/>
  <c r="K66" i="2"/>
  <c r="I66" i="2"/>
  <c r="K65" i="2"/>
  <c r="I65" i="2"/>
  <c r="K58" i="2"/>
  <c r="I58" i="2"/>
  <c r="K52" i="2"/>
  <c r="I52" i="2"/>
  <c r="K51" i="2"/>
  <c r="I51" i="2"/>
  <c r="K50" i="2"/>
  <c r="I50" i="2"/>
  <c r="K43" i="2"/>
  <c r="K42" i="2"/>
  <c r="I42" i="2"/>
  <c r="K41" i="2"/>
  <c r="I41" i="2"/>
  <c r="K40" i="2"/>
  <c r="I40" i="2"/>
  <c r="K39" i="2"/>
  <c r="I39" i="2"/>
  <c r="K38" i="2"/>
  <c r="I38" i="2"/>
  <c r="K37" i="2"/>
  <c r="I37" i="2"/>
  <c r="K36" i="2"/>
  <c r="I36" i="2"/>
  <c r="K35" i="2"/>
  <c r="I35" i="2"/>
  <c r="K34" i="2"/>
  <c r="I34" i="2"/>
  <c r="K33" i="2"/>
  <c r="K106" i="2"/>
  <c r="I106" i="2"/>
  <c r="K98" i="2"/>
  <c r="I98" i="2"/>
  <c r="K90" i="2"/>
  <c r="I90" i="2"/>
  <c r="K59" i="2"/>
  <c r="I59" i="2"/>
  <c r="K44" i="2"/>
  <c r="I44" i="2"/>
  <c r="K103" i="2"/>
  <c r="I103" i="2"/>
  <c r="K95" i="2"/>
  <c r="I95" i="2"/>
  <c r="K64" i="2"/>
  <c r="I64" i="2"/>
  <c r="K49" i="2"/>
  <c r="I49" i="2"/>
  <c r="K31" i="2"/>
  <c r="N44" i="2" l="1" a="1"/>
  <c r="N44" i="2" s="1"/>
  <c r="O44" i="2" s="1"/>
  <c r="N33" i="2" a="1"/>
  <c r="N33" i="2" s="1"/>
  <c r="O33" i="2" s="1"/>
  <c r="N39" i="2" a="1"/>
  <c r="N39" i="2" s="1"/>
  <c r="O39" i="2" s="1"/>
  <c r="N51" i="2" a="1"/>
  <c r="N51" i="2" s="1"/>
  <c r="O51" i="2" s="1"/>
  <c r="N68" i="2" a="1"/>
  <c r="N68" i="2" s="1"/>
  <c r="O68" i="2" s="1"/>
  <c r="N74" i="2" a="1"/>
  <c r="N74" i="2" s="1"/>
  <c r="O74" i="2" s="1"/>
  <c r="N80" i="2" a="1"/>
  <c r="N80" i="2" s="1"/>
  <c r="O80" i="2" s="1"/>
  <c r="N86" i="2" a="1"/>
  <c r="N86" i="2" s="1"/>
  <c r="O86" i="2" s="1"/>
  <c r="N104" i="2" a="1"/>
  <c r="N104" i="2" s="1"/>
  <c r="O104" i="2" s="1"/>
  <c r="N40" i="2" a="1"/>
  <c r="N40" i="2" s="1"/>
  <c r="O40" i="2" s="1"/>
  <c r="N81" i="2" a="1"/>
  <c r="N81" i="2" s="1"/>
  <c r="O81" i="2" s="1"/>
  <c r="N41" i="2" a="1"/>
  <c r="N41" i="2" s="1"/>
  <c r="O41" i="2" s="1"/>
  <c r="N70" i="2" a="1"/>
  <c r="N70" i="2" s="1"/>
  <c r="O70" i="2" s="1"/>
  <c r="N76" i="2" a="1"/>
  <c r="N76" i="2" s="1"/>
  <c r="O76" i="2" s="1"/>
  <c r="N82" i="2" a="1"/>
  <c r="N82" i="2" s="1"/>
  <c r="O82" i="2" s="1"/>
  <c r="N88" i="2" a="1"/>
  <c r="N88" i="2" s="1"/>
  <c r="O88" i="2" s="1"/>
  <c r="N31" i="2" a="1"/>
  <c r="N31" i="2" s="1"/>
  <c r="O31" i="2" s="1"/>
  <c r="N52" i="2" a="1"/>
  <c r="N52" i="2" s="1"/>
  <c r="O52" i="2" s="1"/>
  <c r="N105" i="2" a="1"/>
  <c r="N105" i="2" s="1"/>
  <c r="O105" i="2" s="1"/>
  <c r="N35" i="2" a="1"/>
  <c r="N35" i="2" s="1"/>
  <c r="O35" i="2" s="1"/>
  <c r="N64" i="2" a="1"/>
  <c r="N64" i="2" s="1"/>
  <c r="O64" i="2" s="1"/>
  <c r="N36" i="2" a="1"/>
  <c r="N36" i="2" s="1"/>
  <c r="O36" i="2" s="1"/>
  <c r="N65" i="2" a="1"/>
  <c r="N65" i="2" s="1"/>
  <c r="O65" i="2" s="1"/>
  <c r="N83" i="2" a="1"/>
  <c r="N83" i="2" s="1"/>
  <c r="O83" i="2" s="1"/>
  <c r="N89" i="2" a="1"/>
  <c r="N89" i="2" s="1"/>
  <c r="O89" i="2" s="1"/>
  <c r="N69" i="2" a="1"/>
  <c r="N69" i="2" s="1"/>
  <c r="O69" i="2" s="1"/>
  <c r="N49" i="2" a="1"/>
  <c r="N49" i="2" s="1"/>
  <c r="O49" i="2" s="1"/>
  <c r="N58" i="2" a="1"/>
  <c r="N58" i="2" s="1"/>
  <c r="O58" i="2" s="1"/>
  <c r="N42" i="2" a="1"/>
  <c r="N42" i="2" s="1"/>
  <c r="O42" i="2" s="1"/>
  <c r="N77" i="2" a="1"/>
  <c r="N77" i="2" s="1"/>
  <c r="O77" i="2" s="1"/>
  <c r="N95" i="2" a="1"/>
  <c r="N95" i="2" s="1"/>
  <c r="O95" i="2" s="1"/>
  <c r="N37" i="2" a="1"/>
  <c r="N37" i="2" s="1"/>
  <c r="O37" i="2" s="1"/>
  <c r="N66" i="2" a="1"/>
  <c r="N66" i="2" s="1"/>
  <c r="O66" i="2" s="1"/>
  <c r="N72" i="2" a="1"/>
  <c r="N72" i="2" s="1"/>
  <c r="O72" i="2" s="1"/>
  <c r="N84" i="2" a="1"/>
  <c r="N84" i="2" s="1"/>
  <c r="O84" i="2" s="1"/>
  <c r="N96" i="2" a="1"/>
  <c r="N96" i="2" s="1"/>
  <c r="O96" i="2" s="1"/>
  <c r="N59" i="2" a="1"/>
  <c r="N59" i="2" s="1"/>
  <c r="O59" i="2" s="1"/>
  <c r="N75" i="2" a="1"/>
  <c r="N75" i="2" s="1"/>
  <c r="O75" i="2" s="1"/>
  <c r="N90" i="2" a="1"/>
  <c r="N90" i="2" s="1"/>
  <c r="O90" i="2" s="1"/>
  <c r="N98" i="2" a="1"/>
  <c r="N98" i="2" s="1"/>
  <c r="O98" i="2" s="1"/>
  <c r="N71" i="2" a="1"/>
  <c r="N71" i="2" s="1"/>
  <c r="O71" i="2" s="1"/>
  <c r="N106" i="2" a="1"/>
  <c r="N106" i="2" s="1"/>
  <c r="O106" i="2" s="1"/>
  <c r="N43" i="2" a="1"/>
  <c r="N43" i="2" s="1"/>
  <c r="O43" i="2" s="1"/>
  <c r="N78" i="2" a="1"/>
  <c r="N78" i="2" s="1"/>
  <c r="O78" i="2" s="1"/>
  <c r="N34" i="2" a="1"/>
  <c r="N34" i="2" s="1"/>
  <c r="O34" i="2" s="1"/>
  <c r="N87" i="2" a="1"/>
  <c r="N87" i="2" s="1"/>
  <c r="O87" i="2" s="1"/>
  <c r="N103" i="2" a="1"/>
  <c r="N103" i="2" s="1"/>
  <c r="O103" i="2" s="1"/>
  <c r="N38" i="2" a="1"/>
  <c r="N38" i="2" s="1"/>
  <c r="O38" i="2" s="1"/>
  <c r="N50" i="2" a="1"/>
  <c r="N50" i="2" s="1"/>
  <c r="O50" i="2" s="1"/>
  <c r="N67" i="2" a="1"/>
  <c r="N67" i="2" s="1"/>
  <c r="O67" i="2" s="1"/>
  <c r="N73" i="2" a="1"/>
  <c r="N73" i="2" s="1"/>
  <c r="O73" i="2" s="1"/>
  <c r="N79" i="2" a="1"/>
  <c r="N79" i="2" s="1"/>
  <c r="O79" i="2" s="1"/>
  <c r="N85" i="2" a="1"/>
  <c r="N85" i="2" s="1"/>
  <c r="O85" i="2" s="1"/>
  <c r="N97" i="2" a="1"/>
  <c r="N97" i="2" s="1"/>
  <c r="O97" i="2" s="1"/>
  <c r="X12" i="2"/>
  <c r="M105" i="2"/>
  <c r="L105" i="2"/>
  <c r="M104" i="2"/>
  <c r="L104" i="2"/>
  <c r="M96" i="2"/>
  <c r="L96" i="2"/>
  <c r="L97" i="2"/>
  <c r="M97" i="2"/>
  <c r="M85" i="2"/>
  <c r="L85" i="2"/>
  <c r="M84" i="2"/>
  <c r="L84" i="2"/>
  <c r="M86" i="2"/>
  <c r="L86" i="2"/>
  <c r="M87" i="2"/>
  <c r="L87" i="2"/>
  <c r="M88" i="2"/>
  <c r="L88" i="2"/>
  <c r="M89" i="2"/>
  <c r="L89" i="2"/>
  <c r="M72" i="2"/>
  <c r="L72" i="2"/>
  <c r="M67" i="2"/>
  <c r="L67" i="2"/>
  <c r="M73" i="2"/>
  <c r="L73" i="2"/>
  <c r="M79" i="2"/>
  <c r="L79" i="2"/>
  <c r="M68" i="2"/>
  <c r="L68" i="2"/>
  <c r="M74" i="2"/>
  <c r="L74" i="2"/>
  <c r="M80" i="2"/>
  <c r="L80" i="2"/>
  <c r="M66" i="2"/>
  <c r="L66" i="2"/>
  <c r="M78" i="2"/>
  <c r="L78" i="2"/>
  <c r="M69" i="2"/>
  <c r="L69" i="2"/>
  <c r="M75" i="2"/>
  <c r="L75" i="2"/>
  <c r="M81" i="2"/>
  <c r="L81" i="2"/>
  <c r="M70" i="2"/>
  <c r="L70" i="2"/>
  <c r="M76" i="2"/>
  <c r="L76" i="2"/>
  <c r="M82" i="2"/>
  <c r="L82" i="2"/>
  <c r="M65" i="2"/>
  <c r="L65" i="2"/>
  <c r="M71" i="2"/>
  <c r="L71" i="2"/>
  <c r="L77" i="2"/>
  <c r="M77" i="2"/>
  <c r="M83" i="2"/>
  <c r="L83" i="2"/>
  <c r="L50" i="2"/>
  <c r="M50" i="2"/>
  <c r="M51" i="2"/>
  <c r="L51" i="2"/>
  <c r="M52" i="2"/>
  <c r="L52" i="2"/>
  <c r="M58" i="2"/>
  <c r="L58" i="2"/>
  <c r="M34" i="2"/>
  <c r="L34" i="2"/>
  <c r="M35" i="2"/>
  <c r="L35" i="2"/>
  <c r="M33" i="2"/>
  <c r="L33" i="2"/>
  <c r="M41" i="2"/>
  <c r="L41" i="2"/>
  <c r="L40" i="2"/>
  <c r="M40" i="2"/>
  <c r="L36" i="2"/>
  <c r="M36" i="2"/>
  <c r="M39" i="2"/>
  <c r="L39" i="2"/>
  <c r="M37" i="2"/>
  <c r="L37" i="2"/>
  <c r="M42" i="2"/>
  <c r="L42" i="2"/>
  <c r="M38" i="2"/>
  <c r="L38" i="2"/>
  <c r="M43" i="2"/>
  <c r="L43" i="2"/>
  <c r="M106" i="2"/>
  <c r="L106" i="2"/>
  <c r="M98" i="2"/>
  <c r="L98" i="2"/>
  <c r="M90" i="2"/>
  <c r="L90" i="2"/>
  <c r="M59" i="2"/>
  <c r="L59" i="2"/>
  <c r="M44" i="2"/>
  <c r="L44" i="2"/>
  <c r="M103" i="2"/>
  <c r="L103" i="2"/>
  <c r="M95" i="2"/>
  <c r="L95" i="2"/>
  <c r="M64" i="2"/>
  <c r="L64" i="2"/>
  <c r="M49" i="2"/>
  <c r="L49" i="2"/>
  <c r="M31" i="2"/>
  <c r="L31" i="2"/>
  <c r="Y17" i="7" l="1"/>
  <c r="Z17" i="7" s="1"/>
  <c r="Y17" i="2"/>
  <c r="Z17" i="2" s="1"/>
  <c r="K26" i="2"/>
  <c r="N26" i="2" s="1" a="1"/>
  <c r="N26" i="2" s="1"/>
  <c r="I26" i="2"/>
  <c r="K25" i="2"/>
  <c r="N25" i="2" s="1" a="1"/>
  <c r="N25" i="2" s="1"/>
  <c r="I25" i="2"/>
  <c r="K24" i="2"/>
  <c r="N24" i="2" s="1" a="1"/>
  <c r="N24" i="2" s="1"/>
  <c r="I24" i="2"/>
  <c r="K23" i="2"/>
  <c r="N23" i="2" s="1" a="1"/>
  <c r="N23" i="2" s="1"/>
  <c r="I23" i="2"/>
  <c r="K22" i="2"/>
  <c r="N22" i="2" s="1" a="1"/>
  <c r="N22" i="2" s="1"/>
  <c r="I22" i="2"/>
  <c r="K21" i="2"/>
  <c r="N21" i="2" s="1" a="1"/>
  <c r="N21" i="2" s="1"/>
  <c r="I21" i="2"/>
  <c r="K20" i="2"/>
  <c r="N20" i="2" s="1" a="1"/>
  <c r="N20" i="2" s="1"/>
  <c r="I20" i="2"/>
  <c r="K19" i="2"/>
  <c r="N19" i="2" s="1" a="1"/>
  <c r="N19" i="2" s="1"/>
  <c r="I19" i="2"/>
  <c r="K18" i="2"/>
  <c r="N18" i="2" s="1" a="1"/>
  <c r="N18" i="2" s="1"/>
  <c r="I18" i="2"/>
  <c r="K17" i="2"/>
  <c r="N17" i="2" s="1" a="1"/>
  <c r="N17" i="2" s="1"/>
  <c r="I17" i="2"/>
  <c r="K16" i="2"/>
  <c r="N16" i="2" s="1" a="1"/>
  <c r="N16" i="2" s="1"/>
  <c r="I16" i="2"/>
  <c r="K15" i="2"/>
  <c r="N15" i="2" s="1" a="1"/>
  <c r="N15" i="2" s="1"/>
  <c r="I15" i="2"/>
  <c r="K14" i="2"/>
  <c r="N14" i="2" s="1" a="1"/>
  <c r="N14" i="2" s="1"/>
  <c r="I14" i="2"/>
  <c r="K13" i="2"/>
  <c r="N13" i="2" s="1" a="1"/>
  <c r="N13" i="2" s="1"/>
  <c r="I13" i="2"/>
  <c r="K12" i="2"/>
  <c r="N12" i="2" s="1" a="1"/>
  <c r="N12" i="2" s="1"/>
  <c r="I12" i="2"/>
  <c r="K11" i="2"/>
  <c r="N11" i="2" s="1" a="1"/>
  <c r="N11" i="2" s="1"/>
  <c r="I11" i="2"/>
  <c r="K10" i="2"/>
  <c r="N10" i="2" s="1" a="1"/>
  <c r="N10" i="2" s="1"/>
  <c r="I10" i="2"/>
  <c r="K9" i="2"/>
  <c r="N9" i="2" s="1" a="1"/>
  <c r="N9" i="2" s="1"/>
  <c r="I9" i="2"/>
  <c r="K8" i="2"/>
  <c r="N8" i="2" s="1" a="1"/>
  <c r="N8" i="2" s="1"/>
  <c r="I8" i="2"/>
  <c r="K7" i="2"/>
  <c r="N7" i="2" s="1" a="1"/>
  <c r="N7" i="2" s="1"/>
  <c r="I7" i="2"/>
  <c r="K6" i="2"/>
  <c r="M6" i="2" s="1"/>
  <c r="L102" i="2"/>
  <c r="L94" i="2"/>
  <c r="L63" i="2"/>
  <c r="L48" i="2"/>
  <c r="L30" i="2"/>
  <c r="L6" i="2" l="1"/>
  <c r="N6" i="2" a="1"/>
  <c r="N6" i="2" s="1"/>
  <c r="O12" i="2"/>
  <c r="M12" i="2"/>
  <c r="L12" i="2"/>
  <c r="O18" i="2"/>
  <c r="M18" i="2"/>
  <c r="L18" i="2"/>
  <c r="O24" i="2"/>
  <c r="M24" i="2"/>
  <c r="L24" i="2"/>
  <c r="M7" i="2"/>
  <c r="L7" i="2"/>
  <c r="O7" i="2"/>
  <c r="M13" i="2"/>
  <c r="L13" i="2"/>
  <c r="O13" i="2"/>
  <c r="O19" i="2"/>
  <c r="M19" i="2"/>
  <c r="L19" i="2"/>
  <c r="M25" i="2"/>
  <c r="L25" i="2"/>
  <c r="O25" i="2"/>
  <c r="O8" i="2"/>
  <c r="M8" i="2"/>
  <c r="L8" i="2"/>
  <c r="O14" i="2"/>
  <c r="M14" i="2"/>
  <c r="L14" i="2"/>
  <c r="O20" i="2"/>
  <c r="M20" i="2"/>
  <c r="L20" i="2"/>
  <c r="O26" i="2"/>
  <c r="M26" i="2"/>
  <c r="L26" i="2"/>
  <c r="M9" i="2"/>
  <c r="Y11" i="7" s="1"/>
  <c r="L9" i="2"/>
  <c r="O9" i="2"/>
  <c r="M15" i="2"/>
  <c r="L15" i="2"/>
  <c r="O15" i="2"/>
  <c r="M21" i="2"/>
  <c r="L21" i="2"/>
  <c r="O21" i="2"/>
  <c r="O10" i="2"/>
  <c r="M10" i="2"/>
  <c r="L10" i="2"/>
  <c r="O16" i="2"/>
  <c r="M16" i="2"/>
  <c r="L16" i="2"/>
  <c r="O22" i="2"/>
  <c r="M22" i="2"/>
  <c r="L22" i="2"/>
  <c r="O11" i="2"/>
  <c r="M11" i="2"/>
  <c r="L11" i="2"/>
  <c r="M17" i="2"/>
  <c r="L17" i="2"/>
  <c r="O17" i="2"/>
  <c r="O23" i="2"/>
  <c r="M23" i="2"/>
  <c r="L23" i="2"/>
  <c r="J123" i="2"/>
  <c r="N123" i="2" s="1"/>
  <c r="O123" i="2" s="1"/>
  <c r="I123" i="2"/>
  <c r="I121" i="2"/>
  <c r="I120" i="2"/>
  <c r="I119" i="2"/>
  <c r="I118" i="2"/>
  <c r="I117" i="2"/>
  <c r="I116" i="2"/>
  <c r="I115" i="2"/>
  <c r="I114" i="2"/>
  <c r="I6" i="2"/>
  <c r="W18" i="7" s="1"/>
  <c r="X18" i="7" s="1"/>
  <c r="Y19" i="2" l="1"/>
  <c r="Z19" i="2" s="1"/>
  <c r="Y19" i="7"/>
  <c r="Z19" i="7" s="1"/>
  <c r="Y13" i="2"/>
  <c r="Z13" i="2" s="1"/>
  <c r="Y13" i="7"/>
  <c r="Z13" i="7" s="1"/>
  <c r="Y20" i="7"/>
  <c r="Z20" i="7" s="1"/>
  <c r="W18" i="2"/>
  <c r="X18" i="2" s="1"/>
  <c r="Y18" i="2"/>
  <c r="Z18" i="2" s="1"/>
  <c r="Y18" i="7"/>
  <c r="Z18" i="7" s="1"/>
  <c r="Y11" i="2"/>
  <c r="Z11" i="2" s="1"/>
  <c r="Y10" i="7"/>
  <c r="Z10" i="7" s="1"/>
  <c r="Y10" i="2"/>
  <c r="Z10" i="2" s="1"/>
  <c r="W10" i="7"/>
  <c r="X10" i="7" s="1"/>
  <c r="W10" i="2"/>
  <c r="X10" i="2" s="1"/>
  <c r="W11" i="7"/>
  <c r="W11" i="2"/>
  <c r="Z11" i="7"/>
  <c r="L60" i="2"/>
  <c r="L99" i="2"/>
  <c r="L107" i="2"/>
  <c r="I60" i="2"/>
  <c r="I45" i="2"/>
  <c r="M123" i="2"/>
  <c r="I107" i="2"/>
  <c r="M107" i="2"/>
  <c r="I99" i="2"/>
  <c r="I27" i="2"/>
  <c r="J118" i="2"/>
  <c r="N118" i="2" s="1"/>
  <c r="O118" i="2" s="1"/>
  <c r="M99" i="2"/>
  <c r="Y20" i="2" s="1"/>
  <c r="Z20" i="2" s="1"/>
  <c r="J116" i="2"/>
  <c r="J121" i="2"/>
  <c r="J114" i="2"/>
  <c r="J119" i="2"/>
  <c r="N119" i="2" s="1"/>
  <c r="O119" i="2" s="1"/>
  <c r="J117" i="2"/>
  <c r="M117" i="2" s="1"/>
  <c r="I91" i="2"/>
  <c r="J115" i="2"/>
  <c r="M115" i="2" s="1"/>
  <c r="K123" i="2"/>
  <c r="J120" i="2"/>
  <c r="M120" i="2" s="1"/>
  <c r="W20" i="7" l="1"/>
  <c r="X20" i="7" s="1"/>
  <c r="W20" i="2"/>
  <c r="X20" i="2" s="1"/>
  <c r="Y24" i="7"/>
  <c r="Y24" i="2"/>
  <c r="X11" i="2"/>
  <c r="X11" i="7"/>
  <c r="L45" i="2"/>
  <c r="L91" i="2"/>
  <c r="O107" i="2"/>
  <c r="O99" i="2"/>
  <c r="M60" i="2"/>
  <c r="O60" i="2"/>
  <c r="M91" i="2"/>
  <c r="O91" i="2"/>
  <c r="K118" i="2"/>
  <c r="M118" i="2"/>
  <c r="M119" i="2"/>
  <c r="O45" i="2"/>
  <c r="N117" i="2"/>
  <c r="O117" i="2" s="1"/>
  <c r="K117" i="2"/>
  <c r="N116" i="2"/>
  <c r="O116" i="2" s="1"/>
  <c r="K116" i="2"/>
  <c r="M45" i="2"/>
  <c r="K120" i="2"/>
  <c r="N120" i="2"/>
  <c r="O120" i="2" s="1"/>
  <c r="M116" i="2"/>
  <c r="N115" i="2"/>
  <c r="O115" i="2" s="1"/>
  <c r="K115" i="2"/>
  <c r="N114" i="2"/>
  <c r="O114" i="2" s="1"/>
  <c r="M114" i="2"/>
  <c r="K114" i="2"/>
  <c r="N121" i="2"/>
  <c r="O121" i="2" s="1"/>
  <c r="M121" i="2"/>
  <c r="K121" i="2"/>
  <c r="W24" i="2" l="1"/>
  <c r="W24" i="7"/>
  <c r="O6" i="2"/>
  <c r="O27" i="2" s="1"/>
  <c r="L27" i="2"/>
  <c r="L28" i="2" s="1"/>
  <c r="M2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<sst xmlns="http://schemas.openxmlformats.org/spreadsheetml/2006/main" count="364" uniqueCount="98">
  <si>
    <r>
      <t>CXONE DIGITAL AGENT -</t>
    </r>
    <r>
      <rPr>
        <b/>
        <i/>
        <u/>
        <sz val="10"/>
        <color theme="0"/>
        <rFont val="Aptos Narrow"/>
        <family val="2"/>
        <scheme val="minor"/>
      </rPr>
      <t xml:space="preserve"> 36 Meses</t>
    </r>
  </si>
  <si>
    <t>SOFTWARE MRC PRODUCTS</t>
  </si>
  <si>
    <t>PRICE LIST</t>
  </si>
  <si>
    <t>FOB NET PRICE</t>
  </si>
  <si>
    <t>SELL PRICE (WITH TAXES)</t>
  </si>
  <si>
    <t>Imposto de Licença</t>
  </si>
  <si>
    <t>#</t>
  </si>
  <si>
    <t>Product</t>
  </si>
  <si>
    <t>Quantity</t>
  </si>
  <si>
    <t>Unit Partner Price</t>
  </si>
  <si>
    <t>Total Partner Price</t>
  </si>
  <si>
    <t>Additional Discount</t>
  </si>
  <si>
    <t xml:space="preserve"> Unit Price (FOB)</t>
  </si>
  <si>
    <t>FOB NET</t>
  </si>
  <si>
    <t>Unit Sell Price</t>
  </si>
  <si>
    <t>Total Sell Price</t>
  </si>
  <si>
    <t>Imposto de Serviço</t>
  </si>
  <si>
    <t>Imposto Conn MPLS</t>
  </si>
  <si>
    <t>Services</t>
  </si>
  <si>
    <t>BP Factor</t>
  </si>
  <si>
    <t>CXone SW</t>
  </si>
  <si>
    <t>Bundle</t>
  </si>
  <si>
    <t>Integrated SW</t>
  </si>
  <si>
    <t>3rd Party</t>
  </si>
  <si>
    <t>Training and Onboarding</t>
  </si>
  <si>
    <t>SOFTWARE USAGE PRODUCTS</t>
  </si>
  <si>
    <t>USAGE SCHEDULE B</t>
  </si>
  <si>
    <t>Atento Unit Price (FOB)</t>
  </si>
  <si>
    <t>NRC - Services</t>
  </si>
  <si>
    <t>Unit Price (FOB)</t>
  </si>
  <si>
    <t>MRC - Connectivity</t>
  </si>
  <si>
    <t>NRC - Connectivity</t>
  </si>
  <si>
    <t>Omilia for CXone Embedded IVR Voice Biometrics Implementation Package</t>
  </si>
  <si>
    <t>CXone Virtual Agent Hub Registration Implementation</t>
  </si>
  <si>
    <t>CXone Autopilot Medium Implementation Package</t>
  </si>
  <si>
    <t>Enlighten Autopilot Basics Instructor Led (1-day) (per student)</t>
  </si>
  <si>
    <t>Enlighten Autopilot Advanced Instructor Led (4-day) (per student)</t>
  </si>
  <si>
    <t>Digital CXi Consulting for Autopilot/Copilot by License Tier</t>
  </si>
  <si>
    <t>Turn-by-Turn Transcription Service Implementation</t>
  </si>
  <si>
    <t>CXone Cloud Text to Speech Registration Implementation</t>
  </si>
  <si>
    <t>CXone Business Consulting for IEX WFM Integrated</t>
  </si>
  <si>
    <t>Mudanças na tabela</t>
  </si>
  <si>
    <t>-  Ao colocar a categoria em "Prod Category", formata automaticamente a cor, a % do desconto e a formatação da célula de desconto</t>
  </si>
  <si>
    <t>- Apaga automaticamente ao remover a categoria do produto</t>
  </si>
  <si>
    <t>- Funciona apenas para as tabelas que possuem a coluna "Prod Category"</t>
  </si>
  <si>
    <t>Benefícios</t>
  </si>
  <si>
    <t>- Formatações automáticas</t>
  </si>
  <si>
    <t>- Não precisa mudar a porcentagem do desconto em cada célula, é automático</t>
  </si>
  <si>
    <t>Pontos Negativos</t>
  </si>
  <si>
    <t xml:space="preserve">- Ao alterar manualmente o desconto, fórmula é apagada. Procure possuir um arquivo desse template e realizar a quote em uma cópia </t>
  </si>
  <si>
    <t>Recomendações de uso</t>
  </si>
  <si>
    <t>- Manter uma cópia original desse template e "passar" a quote para a planilha em outro arquivo cópia</t>
  </si>
  <si>
    <t>SKU</t>
  </si>
  <si>
    <t>Prod Category Discount</t>
  </si>
  <si>
    <t>Discount</t>
  </si>
  <si>
    <t>Local Taxes</t>
  </si>
  <si>
    <t>Connectivity MRC</t>
  </si>
  <si>
    <t>Connectivity NRC</t>
  </si>
  <si>
    <t>Support</t>
  </si>
  <si>
    <t>Others</t>
  </si>
  <si>
    <t>Success Package</t>
  </si>
  <si>
    <t>Group</t>
  </si>
  <si>
    <t>Add-on</t>
  </si>
  <si>
    <t>List Price BRL</t>
  </si>
  <si>
    <t>Discounted Price BRL</t>
  </si>
  <si>
    <t>Price per license BRL</t>
  </si>
  <si>
    <t>Discounted Price per license BRL</t>
  </si>
  <si>
    <t>Total</t>
  </si>
  <si>
    <t>Video/Co-browse</t>
  </si>
  <si>
    <t>Dialer</t>
  </si>
  <si>
    <t>WFM IEX</t>
  </si>
  <si>
    <t>Knowledge</t>
  </si>
  <si>
    <t>Gamification</t>
  </si>
  <si>
    <t>VAH</t>
  </si>
  <si>
    <t>CRM</t>
  </si>
  <si>
    <t>Usage</t>
  </si>
  <si>
    <t>Schedule B</t>
  </si>
  <si>
    <t>Storage</t>
  </si>
  <si>
    <t>#E49EDD</t>
  </si>
  <si>
    <t>#92D050</t>
  </si>
  <si>
    <t>#0C769E</t>
  </si>
  <si>
    <t>CXone Mpower Actions</t>
  </si>
  <si>
    <t>Enlighten Actions Implementation</t>
  </si>
  <si>
    <t>1551-2721-XXX</t>
  </si>
  <si>
    <t>610282-2722-XXX</t>
  </si>
  <si>
    <t>Continuous Transcription Implementation Service</t>
  </si>
  <si>
    <t>610263-2467-000-XX</t>
  </si>
  <si>
    <t>CXone Business Intelligence Viewer License (per Configured User)</t>
  </si>
  <si>
    <t>Active Storage (Per GB)</t>
  </si>
  <si>
    <t>Long Term Storage (per GB)</t>
  </si>
  <si>
    <t>Long Term Storage Retrieval (per GB)</t>
  </si>
  <si>
    <t>309-2275-000-XX</t>
  </si>
  <si>
    <t>309-565-000-XX</t>
  </si>
  <si>
    <t>309-566-000-XX</t>
  </si>
  <si>
    <t>CXone Recording Export (per interaction)</t>
  </si>
  <si>
    <t>4125-000-000-XX</t>
  </si>
  <si>
    <t>3880-1606-000-XX</t>
  </si>
  <si>
    <t>Configured Universal Port (in excess of included Port(s))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</si>
</sst>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[$$-409]* #,##0_);_([$$-409]* \(#,##0\);_([$$-409]* &quot;-&quot;??_);_(@_)"/>
    <numFmt numFmtId="167" formatCode="_-[$R$-416]\ * #,##0.00_-;\-[$R$-416]\ * #,##0.00_-;_-[$R$-416]\ * &quot;-&quot;??_-;_-@_-"/>
    <numFmt numFmtId="168" formatCode="_-[$$-409]* #,##0.00_ ;_-[$$-409]* \-#,##0.00\ ;_-[$$-409]* &quot;-&quot;??_ ;_-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i/>
      <u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B8D3EF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dotted">
        <color theme="2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theme="2" tint="-0.24994659260841701"/>
      </bottom>
      <diagonal/>
    </border>
    <border>
      <left style="medium">
        <color indexed="64"/>
      </left>
      <right/>
      <top style="dotted">
        <color theme="2" tint="-0.24994659260841701"/>
      </top>
      <bottom style="medium">
        <color indexed="64"/>
      </bottom>
      <diagonal/>
    </border>
    <border>
      <left style="medium">
        <color indexed="64"/>
      </left>
      <right style="dotted">
        <color theme="2" tint="-0.24994659260841701"/>
      </right>
      <top style="medium">
        <color indexed="64"/>
      </top>
      <bottom style="dott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medium">
        <color indexed="64"/>
      </top>
      <bottom style="dotted">
        <color theme="2" tint="-0.24994659260841701"/>
      </bottom>
      <diagonal/>
    </border>
    <border>
      <left style="dotted">
        <color theme="2" tint="-0.24994659260841701"/>
      </left>
      <right style="medium">
        <color indexed="64"/>
      </right>
      <top style="medium">
        <color indexed="64"/>
      </top>
      <bottom style="dotted">
        <color theme="2" tint="-0.24994659260841701"/>
      </bottom>
      <diagonal/>
    </border>
    <border>
      <left style="medium">
        <color indexed="64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 style="medium">
        <color indexed="64"/>
      </right>
      <top style="dotted">
        <color theme="2" tint="-0.24994659260841701"/>
      </top>
      <bottom style="dotted">
        <color theme="2" tint="-0.24994659260841701"/>
      </bottom>
      <diagonal/>
    </border>
    <border>
      <left style="medium">
        <color indexed="64"/>
      </left>
      <right style="dotted">
        <color theme="2" tint="-0.24994659260841701"/>
      </right>
      <top style="dotted">
        <color theme="2" tint="-0.24994659260841701"/>
      </top>
      <bottom style="medium">
        <color indexed="64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medium">
        <color indexed="64"/>
      </bottom>
      <diagonal/>
    </border>
    <border>
      <left style="dotted">
        <color theme="2" tint="-0.24994659260841701"/>
      </left>
      <right style="medium">
        <color indexed="64"/>
      </right>
      <top style="dotted">
        <color theme="2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theme="2" tint="-0.24994659260841701"/>
      </left>
      <right/>
      <top style="medium">
        <color indexed="64"/>
      </top>
      <bottom style="dotted">
        <color theme="2" tint="-0.2499465926084170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tted">
        <color theme="2" tint="-0.24994659260841701"/>
      </left>
      <right/>
      <top style="dotted">
        <color theme="2" tint="-0.24994659260841701"/>
      </top>
      <bottom style="medium">
        <color indexed="64"/>
      </bottom>
      <diagonal/>
    </border>
    <border>
      <left style="medium">
        <color indexed="64"/>
      </left>
      <right style="dotted">
        <color theme="2" tint="-0.24994659260841701"/>
      </right>
      <top style="dotted">
        <color theme="2" tint="-0.24994659260841701"/>
      </top>
      <bottom/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/>
      <diagonal/>
    </border>
    <border>
      <left style="dotted">
        <color theme="2" tint="-0.24994659260841701"/>
      </left>
      <right style="medium">
        <color indexed="64"/>
      </right>
      <top style="dotted">
        <color theme="2" tint="-0.24994659260841701"/>
      </top>
      <bottom/>
      <diagonal/>
    </border>
    <border>
      <left style="medium">
        <color indexed="64"/>
      </left>
      <right/>
      <top style="dotted">
        <color theme="2" tint="-0.24994659260841701"/>
      </top>
      <bottom/>
      <diagonal/>
    </border>
    <border>
      <left style="dotted">
        <color theme="2" tint="-0.24994659260841701"/>
      </left>
      <right/>
      <top style="dotted">
        <color theme="2" tint="-0.24994659260841701"/>
      </top>
      <bottom/>
      <diagonal/>
    </border>
    <border>
      <left/>
      <right/>
      <top style="dotted">
        <color theme="2" tint="-0.24994659260841701"/>
      </top>
      <bottom/>
      <diagonal/>
    </border>
    <border>
      <left style="medium">
        <color indexed="64"/>
      </left>
      <right/>
      <top style="dott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/>
      <top style="dotted">
        <color theme="2" tint="-0.24994659260841701"/>
      </top>
      <bottom style="dotted">
        <color theme="2" tint="-0.2499465926084170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64">
    <xf numFmtId="0" fontId="0" fillId="0" borderId="0" xfId="0"/>
    <xf numFmtId="0" fontId="3" fillId="0" borderId="0" xfId="0" applyFont="1" applyAlignment="1">
      <alignment vertical="center"/>
    </xf>
    <xf numFmtId="44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44" fontId="6" fillId="0" borderId="6" xfId="0" applyNumberFormat="1" applyFont="1" applyBorder="1" applyAlignment="1">
      <alignment vertical="center"/>
    </xf>
    <xf numFmtId="3" fontId="3" fillId="0" borderId="0" xfId="0" applyNumberFormat="1" applyFont="1" applyAlignment="1">
      <alignment vertical="center"/>
    </xf>
    <xf numFmtId="44" fontId="3" fillId="0" borderId="0" xfId="3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44" fontId="6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left" vertical="center"/>
    </xf>
    <xf numFmtId="3" fontId="7" fillId="4" borderId="0" xfId="0" applyNumberFormat="1" applyFont="1" applyFill="1" applyAlignment="1">
      <alignment horizontal="center" vertical="center"/>
    </xf>
    <xf numFmtId="167" fontId="7" fillId="4" borderId="0" xfId="0" applyNumberFormat="1" applyFont="1" applyFill="1" applyAlignment="1">
      <alignment horizontal="center" vertical="center"/>
    </xf>
    <xf numFmtId="10" fontId="7" fillId="4" borderId="0" xfId="1" applyNumberFormat="1" applyFont="1" applyFill="1" applyBorder="1" applyAlignment="1">
      <alignment vertical="center"/>
    </xf>
    <xf numFmtId="44" fontId="7" fillId="4" borderId="0" xfId="0" applyNumberFormat="1" applyFont="1" applyFill="1" applyAlignment="1">
      <alignment vertical="center"/>
    </xf>
    <xf numFmtId="44" fontId="7" fillId="4" borderId="0" xfId="3" applyFont="1" applyFill="1" applyBorder="1" applyAlignment="1">
      <alignment vertical="center"/>
    </xf>
    <xf numFmtId="3" fontId="7" fillId="4" borderId="0" xfId="0" applyNumberFormat="1" applyFont="1" applyFill="1" applyAlignment="1">
      <alignment horizontal="center" vertical="center" wrapText="1"/>
    </xf>
    <xf numFmtId="167" fontId="8" fillId="4" borderId="10" xfId="0" applyNumberFormat="1" applyFont="1" applyFill="1" applyBorder="1" applyAlignment="1">
      <alignment horizontal="center" vertical="center"/>
    </xf>
    <xf numFmtId="10" fontId="8" fillId="4" borderId="10" xfId="1" applyNumberFormat="1" applyFont="1" applyFill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3" fontId="3" fillId="4" borderId="13" xfId="0" applyNumberFormat="1" applyFont="1" applyFill="1" applyBorder="1" applyAlignment="1">
      <alignment horizontal="left" vertical="center" wrapText="1"/>
    </xf>
    <xf numFmtId="3" fontId="3" fillId="4" borderId="13" xfId="0" applyNumberFormat="1" applyFont="1" applyFill="1" applyBorder="1" applyAlignment="1">
      <alignment horizontal="center" vertical="center"/>
    </xf>
    <xf numFmtId="3" fontId="3" fillId="4" borderId="14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3" fontId="3" fillId="4" borderId="16" xfId="0" applyNumberFormat="1" applyFont="1" applyFill="1" applyBorder="1" applyAlignment="1">
      <alignment horizontal="left" vertical="center"/>
    </xf>
    <xf numFmtId="3" fontId="3" fillId="4" borderId="16" xfId="0" applyNumberFormat="1" applyFont="1" applyFill="1" applyBorder="1" applyAlignment="1">
      <alignment horizontal="center" vertical="center"/>
    </xf>
    <xf numFmtId="3" fontId="3" fillId="4" borderId="16" xfId="0" applyNumberFormat="1" applyFont="1" applyFill="1" applyBorder="1" applyAlignment="1">
      <alignment horizontal="left" vertical="center" wrapText="1"/>
    </xf>
    <xf numFmtId="3" fontId="3" fillId="0" borderId="16" xfId="0" applyNumberFormat="1" applyFont="1" applyBorder="1" applyAlignment="1">
      <alignment horizontal="left" vertical="center" wrapText="1"/>
    </xf>
    <xf numFmtId="3" fontId="3" fillId="0" borderId="16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left" vertical="center"/>
    </xf>
    <xf numFmtId="3" fontId="3" fillId="0" borderId="19" xfId="0" applyNumberFormat="1" applyFont="1" applyBorder="1" applyAlignment="1">
      <alignment horizontal="center" vertical="center"/>
    </xf>
    <xf numFmtId="167" fontId="3" fillId="0" borderId="14" xfId="0" applyNumberFormat="1" applyFont="1" applyBorder="1" applyAlignment="1">
      <alignment horizontal="center" vertical="center"/>
    </xf>
    <xf numFmtId="44" fontId="3" fillId="4" borderId="14" xfId="0" applyNumberFormat="1" applyFont="1" applyFill="1" applyBorder="1" applyAlignment="1">
      <alignment vertical="center"/>
    </xf>
    <xf numFmtId="44" fontId="3" fillId="4" borderId="17" xfId="0" applyNumberFormat="1" applyFont="1" applyFill="1" applyBorder="1" applyAlignment="1">
      <alignment vertical="center"/>
    </xf>
    <xf numFmtId="44" fontId="3" fillId="4" borderId="20" xfId="0" applyNumberFormat="1" applyFont="1" applyFill="1" applyBorder="1" applyAlignment="1">
      <alignment vertical="center"/>
    </xf>
    <xf numFmtId="3" fontId="3" fillId="0" borderId="8" xfId="0" applyNumberFormat="1" applyFont="1" applyBorder="1" applyAlignment="1">
      <alignment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166" fontId="6" fillId="3" borderId="11" xfId="0" applyNumberFormat="1" applyFont="1" applyFill="1" applyBorder="1" applyAlignment="1">
      <alignment horizontal="center" vertical="center"/>
    </xf>
    <xf numFmtId="166" fontId="6" fillId="3" borderId="20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7" fontId="8" fillId="4" borderId="10" xfId="1" applyNumberFormat="1" applyFont="1" applyFill="1" applyBorder="1" applyAlignment="1">
      <alignment vertical="center"/>
    </xf>
    <xf numFmtId="3" fontId="3" fillId="0" borderId="7" xfId="0" applyNumberFormat="1" applyFont="1" applyBorder="1" applyAlignment="1">
      <alignment vertical="center"/>
    </xf>
    <xf numFmtId="10" fontId="3" fillId="8" borderId="5" xfId="1" applyNumberFormat="1" applyFont="1" applyFill="1" applyBorder="1" applyAlignment="1">
      <alignment horizontal="center" vertical="center"/>
    </xf>
    <xf numFmtId="10" fontId="3" fillId="7" borderId="5" xfId="1" applyNumberFormat="1" applyFont="1" applyFill="1" applyBorder="1" applyAlignment="1">
      <alignment horizontal="center" vertical="center"/>
    </xf>
    <xf numFmtId="10" fontId="3" fillId="6" borderId="5" xfId="1" applyNumberFormat="1" applyFont="1" applyFill="1" applyBorder="1" applyAlignment="1">
      <alignment horizontal="center" vertical="center"/>
    </xf>
    <xf numFmtId="10" fontId="3" fillId="9" borderId="5" xfId="1" applyNumberFormat="1" applyFont="1" applyFill="1" applyBorder="1" applyAlignment="1">
      <alignment horizontal="center" vertical="center"/>
    </xf>
    <xf numFmtId="10" fontId="3" fillId="10" borderId="5" xfId="1" applyNumberFormat="1" applyFont="1" applyFill="1" applyBorder="1" applyAlignment="1">
      <alignment horizontal="center" vertical="center" wrapText="1"/>
    </xf>
    <xf numFmtId="10" fontId="3" fillId="15" borderId="5" xfId="1" applyNumberFormat="1" applyFont="1" applyFill="1" applyBorder="1" applyAlignment="1">
      <alignment horizontal="center" vertical="center" wrapText="1"/>
    </xf>
    <xf numFmtId="10" fontId="3" fillId="14" borderId="5" xfId="1" applyNumberFormat="1" applyFont="1" applyFill="1" applyBorder="1" applyAlignment="1">
      <alignment horizontal="center" vertical="center" wrapText="1"/>
    </xf>
    <xf numFmtId="10" fontId="3" fillId="16" borderId="21" xfId="1" applyNumberFormat="1" applyFont="1" applyFill="1" applyBorder="1" applyAlignment="1">
      <alignment horizontal="center" vertical="center" wrapText="1"/>
    </xf>
    <xf numFmtId="10" fontId="7" fillId="5" borderId="23" xfId="1" applyNumberFormat="1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0" fontId="7" fillId="5" borderId="25" xfId="1" applyNumberFormat="1" applyFont="1" applyFill="1" applyBorder="1" applyAlignment="1">
      <alignment horizontal="center" vertical="center"/>
    </xf>
    <xf numFmtId="3" fontId="3" fillId="11" borderId="26" xfId="0" applyNumberFormat="1" applyFont="1" applyFill="1" applyBorder="1" applyAlignment="1">
      <alignment horizontal="center" vertical="center"/>
    </xf>
    <xf numFmtId="3" fontId="3" fillId="7" borderId="26" xfId="0" applyNumberFormat="1" applyFont="1" applyFill="1" applyBorder="1" applyAlignment="1">
      <alignment horizontal="center" vertical="center"/>
    </xf>
    <xf numFmtId="3" fontId="3" fillId="6" borderId="26" xfId="0" applyNumberFormat="1" applyFont="1" applyFill="1" applyBorder="1" applyAlignment="1">
      <alignment horizontal="center" vertical="center"/>
    </xf>
    <xf numFmtId="3" fontId="3" fillId="12" borderId="26" xfId="0" applyNumberFormat="1" applyFont="1" applyFill="1" applyBorder="1" applyAlignment="1">
      <alignment horizontal="center" vertical="center"/>
    </xf>
    <xf numFmtId="3" fontId="3" fillId="13" borderId="26" xfId="0" applyNumberFormat="1" applyFont="1" applyFill="1" applyBorder="1" applyAlignment="1">
      <alignment horizontal="center" vertical="center" wrapText="1"/>
    </xf>
    <xf numFmtId="3" fontId="3" fillId="15" borderId="26" xfId="0" applyNumberFormat="1" applyFont="1" applyFill="1" applyBorder="1" applyAlignment="1">
      <alignment horizontal="center" vertical="center" wrapText="1"/>
    </xf>
    <xf numFmtId="3" fontId="3" fillId="14" borderId="26" xfId="0" applyNumberFormat="1" applyFont="1" applyFill="1" applyBorder="1" applyAlignment="1">
      <alignment horizontal="center" vertical="center" wrapText="1"/>
    </xf>
    <xf numFmtId="3" fontId="3" fillId="16" borderId="22" xfId="0" applyNumberFormat="1" applyFont="1" applyFill="1" applyBorder="1" applyAlignment="1">
      <alignment horizontal="center" vertical="center" wrapText="1"/>
    </xf>
    <xf numFmtId="9" fontId="7" fillId="5" borderId="27" xfId="1" applyFont="1" applyFill="1" applyBorder="1" applyAlignment="1">
      <alignment horizontal="center" vertical="center"/>
    </xf>
    <xf numFmtId="9" fontId="3" fillId="8" borderId="26" xfId="1" applyFont="1" applyFill="1" applyBorder="1" applyAlignment="1">
      <alignment horizontal="center" vertical="center"/>
    </xf>
    <xf numFmtId="9" fontId="3" fillId="7" borderId="26" xfId="1" applyFont="1" applyFill="1" applyBorder="1" applyAlignment="1">
      <alignment horizontal="center" vertical="center"/>
    </xf>
    <xf numFmtId="9" fontId="3" fillId="6" borderId="26" xfId="1" applyFont="1" applyFill="1" applyBorder="1" applyAlignment="1">
      <alignment horizontal="center" vertical="center"/>
    </xf>
    <xf numFmtId="9" fontId="3" fillId="9" borderId="26" xfId="1" applyFont="1" applyFill="1" applyBorder="1" applyAlignment="1">
      <alignment horizontal="center" vertical="center"/>
    </xf>
    <xf numFmtId="9" fontId="3" fillId="10" borderId="26" xfId="1" applyFont="1" applyFill="1" applyBorder="1" applyAlignment="1">
      <alignment horizontal="center" vertical="center" wrapText="1"/>
    </xf>
    <xf numFmtId="9" fontId="3" fillId="15" borderId="26" xfId="1" applyFont="1" applyFill="1" applyBorder="1" applyAlignment="1">
      <alignment horizontal="center" vertical="center" wrapText="1"/>
    </xf>
    <xf numFmtId="9" fontId="3" fillId="14" borderId="26" xfId="1" applyFont="1" applyFill="1" applyBorder="1" applyAlignment="1">
      <alignment horizontal="center" vertical="center" wrapText="1"/>
    </xf>
    <xf numFmtId="9" fontId="3" fillId="16" borderId="22" xfId="1" applyFont="1" applyFill="1" applyBorder="1" applyAlignment="1">
      <alignment horizontal="center" vertical="center" wrapText="1"/>
    </xf>
    <xf numFmtId="164" fontId="3" fillId="0" borderId="14" xfId="4" applyFont="1" applyBorder="1" applyAlignment="1">
      <alignment horizontal="center" vertical="center"/>
    </xf>
    <xf numFmtId="164" fontId="6" fillId="0" borderId="6" xfId="4" applyFont="1" applyBorder="1" applyAlignment="1">
      <alignment vertical="center"/>
    </xf>
    <xf numFmtId="164" fontId="3" fillId="4" borderId="14" xfId="4" applyFont="1" applyFill="1" applyBorder="1" applyAlignment="1">
      <alignment vertical="center"/>
    </xf>
    <xf numFmtId="164" fontId="3" fillId="4" borderId="17" xfId="4" applyFont="1" applyFill="1" applyBorder="1" applyAlignment="1">
      <alignment vertical="center"/>
    </xf>
    <xf numFmtId="164" fontId="3" fillId="4" borderId="20" xfId="4" applyFont="1" applyFill="1" applyBorder="1" applyAlignment="1">
      <alignment vertical="center"/>
    </xf>
    <xf numFmtId="164" fontId="8" fillId="4" borderId="10" xfId="4" applyFont="1" applyFill="1" applyBorder="1" applyAlignment="1">
      <alignment vertical="center"/>
    </xf>
    <xf numFmtId="44" fontId="3" fillId="4" borderId="28" xfId="0" applyNumberFormat="1" applyFont="1" applyFill="1" applyBorder="1" applyAlignment="1">
      <alignment vertical="center"/>
    </xf>
    <xf numFmtId="164" fontId="3" fillId="4" borderId="28" xfId="4" applyFont="1" applyFill="1" applyBorder="1" applyAlignment="1">
      <alignment vertical="center"/>
    </xf>
    <xf numFmtId="0" fontId="4" fillId="2" borderId="29" xfId="2" applyFont="1" applyFill="1" applyBorder="1" applyAlignment="1">
      <alignment horizontal="centerContinuous" vertical="center"/>
    </xf>
    <xf numFmtId="0" fontId="6" fillId="3" borderId="11" xfId="0" applyFont="1" applyFill="1" applyBorder="1" applyAlignment="1">
      <alignment horizontal="center" vertical="center"/>
    </xf>
    <xf numFmtId="0" fontId="4" fillId="2" borderId="8" xfId="2" applyFont="1" applyFill="1" applyBorder="1" applyAlignment="1">
      <alignment horizontal="centerContinuous" vertical="center"/>
    </xf>
    <xf numFmtId="0" fontId="4" fillId="2" borderId="8" xfId="2" applyFont="1" applyFill="1" applyBorder="1" applyAlignment="1">
      <alignment horizontal="left" vertical="center"/>
    </xf>
    <xf numFmtId="0" fontId="4" fillId="2" borderId="30" xfId="2" applyFont="1" applyFill="1" applyBorder="1" applyAlignment="1">
      <alignment horizontal="centerContinuous" vertical="center"/>
    </xf>
    <xf numFmtId="0" fontId="6" fillId="3" borderId="31" xfId="0" applyFont="1" applyFill="1" applyBorder="1" applyAlignment="1">
      <alignment horizontal="center" vertical="center"/>
    </xf>
    <xf numFmtId="167" fontId="6" fillId="3" borderId="31" xfId="0" applyNumberFormat="1" applyFont="1" applyFill="1" applyBorder="1" applyAlignment="1">
      <alignment horizontal="center" vertical="center"/>
    </xf>
    <xf numFmtId="164" fontId="3" fillId="0" borderId="0" xfId="4" applyFont="1" applyBorder="1" applyAlignment="1">
      <alignment vertical="center"/>
    </xf>
    <xf numFmtId="3" fontId="7" fillId="18" borderId="26" xfId="0" applyNumberFormat="1" applyFont="1" applyFill="1" applyBorder="1" applyAlignment="1">
      <alignment horizontal="center" vertical="center"/>
    </xf>
    <xf numFmtId="9" fontId="7" fillId="18" borderId="26" xfId="1" applyFont="1" applyFill="1" applyBorder="1" applyAlignment="1">
      <alignment horizontal="center" vertical="center"/>
    </xf>
    <xf numFmtId="10" fontId="7" fillId="18" borderId="5" xfId="1" applyNumberFormat="1" applyFont="1" applyFill="1" applyBorder="1" applyAlignment="1">
      <alignment horizontal="center" vertical="center"/>
    </xf>
    <xf numFmtId="3" fontId="3" fillId="19" borderId="26" xfId="0" applyNumberFormat="1" applyFont="1" applyFill="1" applyBorder="1" applyAlignment="1">
      <alignment horizontal="center" vertical="center"/>
    </xf>
    <xf numFmtId="9" fontId="3" fillId="19" borderId="26" xfId="1" applyFont="1" applyFill="1" applyBorder="1" applyAlignment="1">
      <alignment horizontal="center" vertical="center"/>
    </xf>
    <xf numFmtId="10" fontId="3" fillId="19" borderId="5" xfId="1" applyNumberFormat="1" applyFont="1" applyFill="1" applyBorder="1" applyAlignment="1">
      <alignment horizontal="center" vertical="center"/>
    </xf>
    <xf numFmtId="3" fontId="7" fillId="17" borderId="26" xfId="0" applyNumberFormat="1" applyFont="1" applyFill="1" applyBorder="1" applyAlignment="1">
      <alignment horizontal="center" vertical="center"/>
    </xf>
    <xf numFmtId="9" fontId="7" fillId="17" borderId="26" xfId="1" applyFont="1" applyFill="1" applyBorder="1" applyAlignment="1">
      <alignment horizontal="center" vertical="center"/>
    </xf>
    <xf numFmtId="10" fontId="7" fillId="17" borderId="5" xfId="1" applyNumberFormat="1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166" fontId="6" fillId="3" borderId="35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167" fontId="6" fillId="3" borderId="36" xfId="0" applyNumberFormat="1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3" fontId="3" fillId="4" borderId="17" xfId="0" applyNumberFormat="1" applyFont="1" applyFill="1" applyBorder="1" applyAlignment="1">
      <alignment horizontal="center" vertical="center"/>
    </xf>
    <xf numFmtId="3" fontId="3" fillId="4" borderId="20" xfId="0" applyNumberFormat="1" applyFont="1" applyFill="1" applyBorder="1" applyAlignment="1">
      <alignment horizontal="center" vertical="center"/>
    </xf>
    <xf numFmtId="167" fontId="8" fillId="4" borderId="38" xfId="0" applyNumberFormat="1" applyFont="1" applyFill="1" applyBorder="1" applyAlignment="1">
      <alignment horizontal="center" vertical="center"/>
    </xf>
    <xf numFmtId="167" fontId="3" fillId="0" borderId="17" xfId="0" applyNumberFormat="1" applyFont="1" applyBorder="1" applyAlignment="1">
      <alignment horizontal="center" vertical="center"/>
    </xf>
    <xf numFmtId="10" fontId="8" fillId="4" borderId="38" xfId="1" applyNumberFormat="1" applyFont="1" applyFill="1" applyBorder="1" applyAlignment="1">
      <alignment vertical="center"/>
    </xf>
    <xf numFmtId="44" fontId="3" fillId="4" borderId="39" xfId="0" applyNumberFormat="1" applyFont="1" applyFill="1" applyBorder="1" applyAlignment="1">
      <alignment vertical="center"/>
    </xf>
    <xf numFmtId="164" fontId="3" fillId="4" borderId="39" xfId="4" applyFont="1" applyFill="1" applyBorder="1" applyAlignment="1">
      <alignment vertical="center"/>
    </xf>
    <xf numFmtId="167" fontId="8" fillId="4" borderId="38" xfId="1" applyNumberFormat="1" applyFont="1" applyFill="1" applyBorder="1" applyAlignment="1">
      <alignment vertical="center"/>
    </xf>
    <xf numFmtId="167" fontId="8" fillId="4" borderId="11" xfId="0" applyNumberFormat="1" applyFont="1" applyFill="1" applyBorder="1" applyAlignment="1">
      <alignment horizontal="center" vertical="center"/>
    </xf>
    <xf numFmtId="167" fontId="3" fillId="0" borderId="20" xfId="0" applyNumberFormat="1" applyFont="1" applyBorder="1" applyAlignment="1">
      <alignment horizontal="center" vertical="center"/>
    </xf>
    <xf numFmtId="10" fontId="8" fillId="4" borderId="11" xfId="1" applyNumberFormat="1" applyFont="1" applyFill="1" applyBorder="1" applyAlignment="1">
      <alignment vertical="center"/>
    </xf>
    <xf numFmtId="44" fontId="3" fillId="4" borderId="31" xfId="0" applyNumberFormat="1" applyFont="1" applyFill="1" applyBorder="1" applyAlignment="1">
      <alignment vertical="center"/>
    </xf>
    <xf numFmtId="164" fontId="3" fillId="4" borderId="31" xfId="4" applyFont="1" applyFill="1" applyBorder="1" applyAlignment="1">
      <alignment vertical="center"/>
    </xf>
    <xf numFmtId="167" fontId="8" fillId="4" borderId="11" xfId="1" applyNumberFormat="1" applyFont="1" applyFill="1" applyBorder="1" applyAlignment="1">
      <alignment vertical="center"/>
    </xf>
    <xf numFmtId="164" fontId="3" fillId="0" borderId="0" xfId="4" applyFont="1" applyAlignment="1">
      <alignment vertical="center"/>
    </xf>
    <xf numFmtId="3" fontId="3" fillId="4" borderId="28" xfId="0" applyNumberFormat="1" applyFont="1" applyFill="1" applyBorder="1" applyAlignment="1">
      <alignment horizontal="center" vertical="center"/>
    </xf>
    <xf numFmtId="3" fontId="3" fillId="4" borderId="39" xfId="0" applyNumberFormat="1" applyFont="1" applyFill="1" applyBorder="1" applyAlignment="1">
      <alignment horizontal="center" vertical="center"/>
    </xf>
    <xf numFmtId="3" fontId="3" fillId="0" borderId="39" xfId="0" applyNumberFormat="1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horizontal="centerContinuous" vertical="center"/>
    </xf>
    <xf numFmtId="0" fontId="4" fillId="2" borderId="4" xfId="0" applyFont="1" applyFill="1" applyBorder="1" applyAlignment="1">
      <alignment horizontal="centerContinuous" vertical="center"/>
    </xf>
    <xf numFmtId="167" fontId="0" fillId="0" borderId="0" xfId="0" applyNumberFormat="1"/>
    <xf numFmtId="3" fontId="0" fillId="0" borderId="0" xfId="0" applyNumberFormat="1"/>
    <xf numFmtId="164" fontId="8" fillId="4" borderId="10" xfId="4" applyFont="1" applyFill="1" applyBorder="1" applyAlignment="1">
      <alignment horizontal="center" vertical="center"/>
    </xf>
    <xf numFmtId="164" fontId="8" fillId="4" borderId="38" xfId="4" applyFont="1" applyFill="1" applyBorder="1" applyAlignment="1">
      <alignment horizontal="center" vertical="center"/>
    </xf>
    <xf numFmtId="164" fontId="3" fillId="0" borderId="17" xfId="4" applyFont="1" applyBorder="1" applyAlignment="1">
      <alignment horizontal="center" vertical="center"/>
    </xf>
    <xf numFmtId="164" fontId="8" fillId="4" borderId="11" xfId="4" applyFont="1" applyFill="1" applyBorder="1" applyAlignment="1">
      <alignment horizontal="center" vertical="center"/>
    </xf>
    <xf numFmtId="164" fontId="3" fillId="0" borderId="20" xfId="4" applyFont="1" applyBorder="1" applyAlignment="1">
      <alignment horizontal="center" vertical="center"/>
    </xf>
    <xf numFmtId="164" fontId="8" fillId="4" borderId="38" xfId="4" applyFont="1" applyFill="1" applyBorder="1" applyAlignment="1">
      <alignment vertical="center"/>
    </xf>
    <xf numFmtId="164" fontId="8" fillId="4" borderId="11" xfId="4" applyFont="1" applyFill="1" applyBorder="1" applyAlignment="1">
      <alignment vertical="center"/>
    </xf>
    <xf numFmtId="0" fontId="9" fillId="0" borderId="0" xfId="0" applyFont="1"/>
    <xf numFmtId="167" fontId="9" fillId="0" borderId="0" xfId="0" applyNumberFormat="1" applyFont="1"/>
    <xf numFmtId="167" fontId="3" fillId="0" borderId="0" xfId="0" applyNumberFormat="1" applyFont="1" applyAlignment="1">
      <alignment vertical="center"/>
    </xf>
    <xf numFmtId="3" fontId="3" fillId="20" borderId="26" xfId="0" applyNumberFormat="1" applyFont="1" applyFill="1" applyBorder="1" applyAlignment="1">
      <alignment horizontal="center" vertical="center" wrapText="1"/>
    </xf>
    <xf numFmtId="9" fontId="3" fillId="20" borderId="26" xfId="1" applyFont="1" applyFill="1" applyBorder="1" applyAlignment="1">
      <alignment horizontal="center" vertical="center" wrapText="1"/>
    </xf>
    <xf numFmtId="10" fontId="3" fillId="20" borderId="5" xfId="1" applyNumberFormat="1" applyFont="1" applyFill="1" applyBorder="1" applyAlignment="1">
      <alignment horizontal="center" vertical="center" wrapText="1"/>
    </xf>
    <xf numFmtId="3" fontId="3" fillId="21" borderId="26" xfId="0" applyNumberFormat="1" applyFont="1" applyFill="1" applyBorder="1" applyAlignment="1">
      <alignment horizontal="center" vertical="center" wrapText="1"/>
    </xf>
    <xf numFmtId="9" fontId="3" fillId="21" borderId="26" xfId="1" applyFont="1" applyFill="1" applyBorder="1" applyAlignment="1">
      <alignment horizontal="center" vertical="center" wrapText="1"/>
    </xf>
    <xf numFmtId="10" fontId="3" fillId="21" borderId="5" xfId="1" applyNumberFormat="1" applyFont="1" applyFill="1" applyBorder="1" applyAlignment="1">
      <alignment horizontal="center" vertical="center" wrapText="1"/>
    </xf>
    <xf numFmtId="3" fontId="3" fillId="22" borderId="26" xfId="0" applyNumberFormat="1" applyFont="1" applyFill="1" applyBorder="1" applyAlignment="1">
      <alignment horizontal="center" vertical="center" wrapText="1"/>
    </xf>
    <xf numFmtId="9" fontId="3" fillId="22" borderId="26" xfId="1" applyFont="1" applyFill="1" applyBorder="1" applyAlignment="1">
      <alignment horizontal="center" vertical="center" wrapText="1"/>
    </xf>
    <xf numFmtId="10" fontId="3" fillId="22" borderId="5" xfId="1" applyNumberFormat="1" applyFont="1" applyFill="1" applyBorder="1" applyAlignment="1">
      <alignment horizontal="center" vertical="center" wrapText="1"/>
    </xf>
    <xf numFmtId="164" fontId="6" fillId="3" borderId="36" xfId="4" applyFont="1" applyFill="1" applyBorder="1" applyAlignment="1">
      <alignment horizontal="center" vertical="center"/>
    </xf>
    <xf numFmtId="0" fontId="4" fillId="2" borderId="30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</cellXfs>
  <cellStyles count="5">
    <cellStyle name="Célula Vinculada" xfId="2" builtinId="24"/>
    <cellStyle name="Currency 2" xfId="3" xr:uid="{7F731244-5194-4C94-BD64-F4E300E5C49E}"/>
    <cellStyle name="Moeda" xfId="4" builtinId="4"/>
    <cellStyle name="Normal" xfId="0" builtinId="0"/>
    <cellStyle name="Porcentagem" xfId="1" builtinId="5"/>
  </cellStyles>
  <dxfs count="284"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E49EDD"/>
        </patternFill>
      </fill>
    </dxf>
    <dxf>
      <fill>
        <patternFill>
          <bgColor rgb="FF92D050"/>
        </patternFill>
      </fill>
    </dxf>
    <dxf>
      <fill>
        <patternFill>
          <bgColor rgb="FF0C769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E49EDD"/>
        </patternFill>
      </fill>
    </dxf>
    <dxf>
      <fill>
        <patternFill>
          <bgColor rgb="FF92D050"/>
        </patternFill>
      </fill>
    </dxf>
    <dxf>
      <fill>
        <patternFill>
          <bgColor rgb="FF0C769E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C769E"/>
        </patternFill>
      </fill>
    </dxf>
    <dxf>
      <fill>
        <patternFill>
          <bgColor rgb="FFE49EDD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C769E"/>
        </patternFill>
      </fill>
    </dxf>
    <dxf>
      <fill>
        <patternFill>
          <bgColor rgb="FFE49EDD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0C769E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E49EDD"/>
        </patternFill>
      </fill>
    </dxf>
    <dxf>
      <fill>
        <patternFill>
          <bgColor rgb="FFFFC000"/>
        </patternFill>
      </fill>
    </dxf>
    <dxf>
      <fill>
        <patternFill>
          <bgColor rgb="FF0C769E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E49EDD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F2CEEF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B8D3EF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1A983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C769E"/>
        </patternFill>
      </fill>
    </dxf>
    <dxf>
      <fill>
        <patternFill>
          <bgColor rgb="FF92D050"/>
        </patternFill>
      </fill>
    </dxf>
    <dxf>
      <fill>
        <patternFill>
          <bgColor rgb="FFE49EDD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E49EDD"/>
        </patternFill>
      </fill>
    </dxf>
    <dxf>
      <fill>
        <patternFill>
          <bgColor rgb="FF0C769E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C769E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92D050"/>
        </patternFill>
      </fill>
    </dxf>
    <dxf>
      <fill>
        <patternFill>
          <bgColor rgb="FFE49EDD"/>
        </patternFill>
      </fill>
    </dxf>
    <dxf>
      <fill>
        <patternFill>
          <bgColor rgb="FFE49EDD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92D050"/>
        </patternFill>
      </fill>
    </dxf>
    <dxf>
      <fill>
        <patternFill>
          <bgColor rgb="FF0C769E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92D050"/>
        </patternFill>
      </fill>
    </dxf>
    <dxf>
      <fill>
        <patternFill>
          <bgColor rgb="FFE49EDD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C769E"/>
        </patternFill>
      </fill>
    </dxf>
    <dxf>
      <fill>
        <patternFill>
          <bgColor rgb="FFE49EDD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0C769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auto="1"/>
      </font>
      <fill>
        <patternFill>
          <bgColor rgb="FFB8D3E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1A983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rgb="FFF2CEEF"/>
        </patternFill>
      </fill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rgb="FF92D050"/>
        </patternFill>
      </fill>
    </dxf>
    <dxf>
      <fill>
        <patternFill>
          <bgColor rgb="FF0C769E"/>
        </patternFill>
      </fill>
    </dxf>
    <dxf>
      <fill>
        <patternFill>
          <bgColor rgb="FFE49EDD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E49EDD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0C769E"/>
        </patternFill>
      </fill>
    </dxf>
    <dxf>
      <fill>
        <patternFill>
          <bgColor rgb="FF0C769E"/>
        </patternFill>
      </fill>
    </dxf>
    <dxf>
      <fill>
        <patternFill>
          <bgColor rgb="FF92D050"/>
        </patternFill>
      </fill>
    </dxf>
    <dxf>
      <fill>
        <patternFill>
          <bgColor rgb="FFE49EDD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0C769E"/>
        </patternFill>
      </fill>
    </dxf>
    <dxf>
      <fill>
        <patternFill>
          <bgColor rgb="FF92D050"/>
        </patternFill>
      </fill>
    </dxf>
    <dxf>
      <fill>
        <patternFill>
          <bgColor rgb="FFE49EDD"/>
        </patternFill>
      </fill>
    </dxf>
    <dxf>
      <fill>
        <patternFill>
          <bgColor rgb="FFE49EDD"/>
        </patternFill>
      </fill>
    </dxf>
    <dxf>
      <fill>
        <patternFill>
          <bgColor rgb="FF92D050"/>
        </patternFill>
      </fill>
    </dxf>
    <dxf>
      <fill>
        <patternFill>
          <bgColor rgb="FF0C769E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E49EDD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C769E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rgb="FFF2CEEF"/>
        </patternFill>
      </fill>
    </dxf>
    <dxf>
      <font>
        <color auto="1"/>
      </font>
      <fill>
        <patternFill>
          <bgColor rgb="FFB8D3EF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F1A983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E49EDD"/>
        </patternFill>
      </fill>
    </dxf>
    <dxf>
      <fill>
        <patternFill>
          <bgColor rgb="FF92D050"/>
        </patternFill>
      </fill>
    </dxf>
    <dxf>
      <fill>
        <patternFill>
          <bgColor rgb="FF0C769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E49EDD"/>
        </patternFill>
      </fill>
    </dxf>
    <dxf>
      <fill>
        <patternFill>
          <bgColor rgb="FF92D050"/>
        </patternFill>
      </fill>
    </dxf>
    <dxf>
      <fill>
        <patternFill>
          <bgColor rgb="FF0C769E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C769E"/>
        </patternFill>
      </fill>
    </dxf>
    <dxf>
      <fill>
        <patternFill>
          <bgColor rgb="FFE49EDD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C769E"/>
        </patternFill>
      </fill>
    </dxf>
    <dxf>
      <fill>
        <patternFill>
          <bgColor rgb="FFE49EDD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0C769E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E49EDD"/>
        </patternFill>
      </fill>
    </dxf>
    <dxf>
      <fill>
        <patternFill>
          <bgColor rgb="FFFFC000"/>
        </patternFill>
      </fill>
    </dxf>
    <dxf>
      <fill>
        <patternFill>
          <bgColor rgb="FF0C769E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E49EDD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F2CEEF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rgb="FFB8D3EF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1A983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C769E"/>
        </patternFill>
      </fill>
    </dxf>
    <dxf>
      <fill>
        <patternFill>
          <bgColor rgb="FF92D050"/>
        </patternFill>
      </fill>
    </dxf>
    <dxf>
      <fill>
        <patternFill>
          <bgColor rgb="FFE49EDD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E49EDD"/>
        </patternFill>
      </fill>
    </dxf>
    <dxf>
      <fill>
        <patternFill>
          <bgColor rgb="FF0C769E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C769E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92D050"/>
        </patternFill>
      </fill>
    </dxf>
    <dxf>
      <fill>
        <patternFill>
          <bgColor rgb="FFE49EDD"/>
        </patternFill>
      </fill>
    </dxf>
    <dxf>
      <fill>
        <patternFill>
          <bgColor rgb="FFE49EDD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92D050"/>
        </patternFill>
      </fill>
    </dxf>
    <dxf>
      <fill>
        <patternFill>
          <bgColor rgb="FF0C769E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92D050"/>
        </patternFill>
      </fill>
    </dxf>
    <dxf>
      <fill>
        <patternFill>
          <bgColor rgb="FFE49EDD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C769E"/>
        </patternFill>
      </fill>
    </dxf>
    <dxf>
      <fill>
        <patternFill>
          <bgColor rgb="FFE49EDD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0C769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auto="1"/>
      </font>
      <fill>
        <patternFill>
          <bgColor rgb="FFB8D3E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1A983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rgb="FFF2CEEF"/>
        </patternFill>
      </fill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rgb="FF92D050"/>
        </patternFill>
      </fill>
    </dxf>
    <dxf>
      <fill>
        <patternFill>
          <bgColor rgb="FF0C769E"/>
        </patternFill>
      </fill>
    </dxf>
    <dxf>
      <fill>
        <patternFill>
          <bgColor rgb="FFE49EDD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E49EDD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0C769E"/>
        </patternFill>
      </fill>
    </dxf>
    <dxf>
      <fill>
        <patternFill>
          <bgColor rgb="FF0C769E"/>
        </patternFill>
      </fill>
    </dxf>
    <dxf>
      <fill>
        <patternFill>
          <bgColor rgb="FF92D050"/>
        </patternFill>
      </fill>
    </dxf>
    <dxf>
      <fill>
        <patternFill>
          <bgColor rgb="FFE49EDD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0C769E"/>
        </patternFill>
      </fill>
    </dxf>
    <dxf>
      <fill>
        <patternFill>
          <bgColor rgb="FF92D050"/>
        </patternFill>
      </fill>
    </dxf>
    <dxf>
      <fill>
        <patternFill>
          <bgColor rgb="FFE49EDD"/>
        </patternFill>
      </fill>
    </dxf>
    <dxf>
      <fill>
        <patternFill>
          <bgColor rgb="FFE49EDD"/>
        </patternFill>
      </fill>
    </dxf>
    <dxf>
      <fill>
        <patternFill>
          <bgColor rgb="FF92D050"/>
        </patternFill>
      </fill>
    </dxf>
    <dxf>
      <fill>
        <patternFill>
          <bgColor rgb="FF0C769E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E49EDD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rgb="FFF2CEEF"/>
        </patternFill>
      </fill>
    </dxf>
    <dxf>
      <font>
        <color auto="1"/>
      </font>
      <fill>
        <patternFill>
          <bgColor rgb="FFB8D3EF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2" tint="-0.24994659260841701"/>
        </patternFill>
      </fill>
    </dxf>
    <dxf>
      <font>
        <color auto="1"/>
      </font>
      <fill>
        <patternFill>
          <bgColor rgb="FFF1A983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C769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colors>
    <mruColors>
      <color rgb="FFFFFF00"/>
      <color rgb="FFE49EDD"/>
      <color rgb="FF92D050"/>
      <color rgb="FF0C769E"/>
      <color rgb="FF7030A0"/>
      <color rgb="FFF2CEEF"/>
      <color rgb="FFB8D3EF"/>
      <color rgb="FFFFFFCC"/>
      <color rgb="FFF1A983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16EFF9-FD03-4010-8CFE-F6D0845A37A0}" name="Table14" displayName="Table14" ref="U9:Z24" totalsRowCount="1" totalsRowDxfId="283">
  <autoFilter ref="U9:Z23" xr:uid="{3316EFF9-FD03-4010-8CFE-F6D0845A37A0}"/>
  <tableColumns count="6">
    <tableColumn id="1" xr3:uid="{668D88A8-92CA-4F20-BC48-C3AE11320230}" name="Group" totalsRowLabel="Total" dataDxfId="282" totalsRowDxfId="281"/>
    <tableColumn id="2" xr3:uid="{AFB356A7-7702-44A8-A7A7-9A4A4E9C8AE0}" name="Quantity" totalsRowDxfId="280">
      <calculatedColumnFormula>'Opp Name'!$E$6</calculatedColumnFormula>
    </tableColumn>
    <tableColumn id="3" xr3:uid="{45C51A09-03A4-4A35-85AA-E96D190AA2B3}" name="List Price BRL" totalsRowFunction="sum" dataDxfId="279" totalsRowDxfId="278">
      <calculatedColumnFormula>SUMIF('Opp Name'!$F:$F,Table14[[#This Row],[Group]],'Opp Name'!$I:$I)</calculatedColumnFormula>
    </tableColumn>
    <tableColumn id="4" xr3:uid="{8371B174-9F5B-4107-8683-6C8E4E60B6F4}" name="Price per license BRL" dataDxfId="277" totalsRowDxfId="276">
      <calculatedColumnFormula>W10/V10</calculatedColumnFormula>
    </tableColumn>
    <tableColumn id="5" xr3:uid="{7A94B5FD-A73A-4F2B-897B-E17340B5A091}" name="Discounted Price BRL" totalsRowFunction="sum" dataDxfId="275" totalsRowDxfId="274">
      <calculatedColumnFormula>SUMIF('Opp Name'!$F:$F,Table14[[#This Row],[Group]],'Opp Name'!$M:$M)</calculatedColumnFormula>
    </tableColumn>
    <tableColumn id="6" xr3:uid="{72DF369F-5028-49F6-B2E6-C09FBB49EE27}" name="Discounted Price per license BRL" dataDxfId="273" totalsRowDxfId="272">
      <calculatedColumnFormula>Y10/V10</calculatedColumnFormula>
    </tableColumn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25D5D-5B5B-447E-BDF7-48421B9FBD17}" name="Table142" displayName="Table142" ref="U9:Z24" totalsRowCount="1" totalsRowDxfId="271">
  <autoFilter ref="U9:Z23" xr:uid="{3316EFF9-FD03-4010-8CFE-F6D0845A37A0}"/>
  <tableColumns count="6">
    <tableColumn id="1" xr3:uid="{5C81C07F-32DD-4289-B77B-6D7DCB8E5604}" name="Group" totalsRowLabel="Total" dataDxfId="270" totalsRowDxfId="269"/>
    <tableColumn id="2" xr3:uid="{3492D6CC-AE0B-49C3-838B-583EF70EF9C2}" name="Quantity" totalsRowDxfId="268">
      <calculatedColumnFormula>'Opportunity_Name USD'!$E$6</calculatedColumnFormula>
    </tableColumn>
    <tableColumn id="3" xr3:uid="{4839543D-FF92-4F5A-9DE8-12B99E362FB1}" name="List Price BRL" totalsRowFunction="sum" dataDxfId="267" totalsRowDxfId="266">
      <calculatedColumnFormula>SUMIF('Opp Name'!$F:$F,Table142[[#This Row],[Group]],'Opp Name'!$I:$I)</calculatedColumnFormula>
    </tableColumn>
    <tableColumn id="4" xr3:uid="{AC3AAD39-69FC-4FCA-9CDE-AE95A8C33C1E}" name="Price per license BRL" dataDxfId="265" totalsRowDxfId="264">
      <calculatedColumnFormula>W10/V10</calculatedColumnFormula>
    </tableColumn>
    <tableColumn id="5" xr3:uid="{800EC290-44D8-412E-83AB-63DDBDD1FA74}" name="Discounted Price BRL" totalsRowFunction="sum" dataDxfId="263" totalsRowDxfId="262">
      <calculatedColumnFormula>SUMIF('Opp Name'!$F:$F,Table142[[#This Row],[Group]],'Opp Name'!$M:$M)</calculatedColumnFormula>
    </tableColumn>
    <tableColumn id="6" xr3:uid="{17452640-2AF2-487F-BC73-8727CF904C5C}" name="Discounted Price per license BRL" dataDxfId="261" totalsRowDxfId="260">
      <calculatedColumnFormula>Y10/V10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EB0CA-497C-418B-9129-06C564472578}">
  <sheetPr codeName="Sheet1">
    <tabColor rgb="FFFFFF00"/>
  </sheetPr>
  <dimension ref="B1:Z280"/>
  <sheetViews>
    <sheetView showGridLines="0" tabSelected="1" topLeftCell="A72" zoomScale="90" zoomScaleNormal="90" workbookViewId="0">
      <selection activeCell="C103" sqref="C103:H103"/>
    </sheetView>
  </sheetViews>
  <sheetFormatPr defaultColWidth="8.81640625" defaultRowHeight="13" x14ac:dyDescent="0.35"/>
  <cols>
    <col min="1" max="1" width="3.453125" style="1" customWidth="1"/>
    <col min="2" max="2" width="5.1796875" style="1" customWidth="1"/>
    <col min="3" max="3" width="61.453125" style="1" customWidth="1"/>
    <col min="4" max="4" width="19.453125" style="1" customWidth="1"/>
    <col min="5" max="6" width="12.453125" style="1" customWidth="1"/>
    <col min="7" max="7" width="18.81640625" style="1" bestFit="1" customWidth="1"/>
    <col min="8" max="8" width="14.453125" style="1" customWidth="1"/>
    <col min="9" max="9" width="16.81640625" style="1" bestFit="1" customWidth="1"/>
    <col min="10" max="10" width="15.81640625" style="1" bestFit="1" customWidth="1"/>
    <col min="11" max="11" width="13.453125" style="1" customWidth="1"/>
    <col min="12" max="12" width="13.453125" style="1" hidden="1" customWidth="1"/>
    <col min="13" max="13" width="16.453125" style="1" customWidth="1"/>
    <col min="14" max="15" width="21.54296875" style="1" customWidth="1"/>
    <col min="16" max="16" width="4.453125" style="1" customWidth="1"/>
    <col min="17" max="17" width="18.81640625" style="1" bestFit="1" customWidth="1"/>
    <col min="18" max="18" width="12.54296875" style="1" bestFit="1" customWidth="1"/>
    <col min="19" max="19" width="9.6328125" style="1" bestFit="1" customWidth="1"/>
    <col min="20" max="20" width="8.81640625" style="1"/>
    <col min="21" max="21" width="16" style="1" bestFit="1" customWidth="1"/>
    <col min="22" max="22" width="9.6328125" style="1" customWidth="1"/>
    <col min="23" max="26" width="15.453125" style="1" customWidth="1"/>
    <col min="27" max="16384" width="8.81640625" style="1"/>
  </cols>
  <sheetData>
    <row r="1" spans="2:26" ht="8.15" customHeight="1" thickBot="1" x14ac:dyDescent="0.4">
      <c r="O1" s="2"/>
    </row>
    <row r="2" spans="2:26" ht="13.5" thickBot="1" x14ac:dyDescent="0.4">
      <c r="B2" s="133" t="s">
        <v>0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5"/>
    </row>
    <row r="3" spans="2:26" ht="5.15" customHeight="1" thickBot="1" x14ac:dyDescent="0.4">
      <c r="O3" s="2"/>
    </row>
    <row r="4" spans="2:26" ht="15" customHeight="1" x14ac:dyDescent="0.35">
      <c r="B4" s="158" t="s">
        <v>1</v>
      </c>
      <c r="C4" s="159"/>
      <c r="D4" s="159"/>
      <c r="E4" s="159"/>
      <c r="F4" s="91"/>
      <c r="G4" s="91"/>
      <c r="H4" s="92" t="s">
        <v>2</v>
      </c>
      <c r="I4" s="88"/>
      <c r="J4" s="92" t="s">
        <v>3</v>
      </c>
      <c r="K4" s="90"/>
      <c r="L4" s="90"/>
      <c r="M4" s="88"/>
      <c r="N4" s="92" t="s">
        <v>4</v>
      </c>
      <c r="O4" s="88"/>
      <c r="Q4" s="1" t="s">
        <v>5</v>
      </c>
      <c r="R4" s="3">
        <v>0.13830000000000001</v>
      </c>
    </row>
    <row r="5" spans="2:26" ht="13.5" thickBot="1" x14ac:dyDescent="0.4">
      <c r="B5" s="105" t="s">
        <v>6</v>
      </c>
      <c r="C5" s="106" t="s">
        <v>7</v>
      </c>
      <c r="D5" s="106" t="s">
        <v>52</v>
      </c>
      <c r="E5" s="106" t="s">
        <v>8</v>
      </c>
      <c r="F5" s="111" t="s">
        <v>61</v>
      </c>
      <c r="G5" s="107" t="s">
        <v>53</v>
      </c>
      <c r="H5" s="108" t="s">
        <v>9</v>
      </c>
      <c r="I5" s="109" t="s">
        <v>10</v>
      </c>
      <c r="J5" s="110" t="s">
        <v>11</v>
      </c>
      <c r="K5" s="111" t="s">
        <v>12</v>
      </c>
      <c r="L5" s="112">
        <v>5.8</v>
      </c>
      <c r="M5" s="107" t="s">
        <v>13</v>
      </c>
      <c r="N5" s="113" t="s">
        <v>14</v>
      </c>
      <c r="O5" s="107" t="s">
        <v>15</v>
      </c>
      <c r="Q5" s="1" t="s">
        <v>16</v>
      </c>
      <c r="R5" s="3">
        <v>7.0099999999999996E-2</v>
      </c>
    </row>
    <row r="6" spans="2:26" ht="14.5" customHeight="1" x14ac:dyDescent="0.35">
      <c r="B6" s="25">
        <v>1</v>
      </c>
      <c r="C6" s="26"/>
      <c r="D6" s="26"/>
      <c r="E6" s="27"/>
      <c r="F6" s="129"/>
      <c r="G6" s="28"/>
      <c r="H6" s="23"/>
      <c r="I6" s="38">
        <f t="shared" ref="I6" si="0">H6*E6</f>
        <v>0</v>
      </c>
      <c r="J6" s="24" cm="1">
        <f t="array" ref="J6">IFERROR(_xlfn.SWITCH(G6, $Q$10, $R$10, $Q$11, $R$11, $Q$12, $R$12, $Q$13, $R$13, $Q$14, $R$14, $Q$15, $R$15, $Q$16, $R$16, $Q$17, $R$17, $Q$18, $R$18,$Q$19,$R$19,$Q$20,$R$20,$Q$21,$R$21,$Q$22,$R$22,$Q$23,$R$23,$Q$24,$R$24), 0)</f>
        <v>0</v>
      </c>
      <c r="K6" s="86">
        <f>IFERROR(H6*(1-J6),0)</f>
        <v>0</v>
      </c>
      <c r="L6" s="87">
        <f>IFERROR(K6*E6,0)/$L$5</f>
        <v>0</v>
      </c>
      <c r="M6" s="39">
        <f>IFERROR(K6*E6,0)</f>
        <v>0</v>
      </c>
      <c r="N6" s="49" cm="1">
        <f t="array" ref="N6">IFERROR(K6*(1+IFERROR(_xlfn.SWITCH(G6, $Q$10, $S$10, $Q$11, $S$11, $Q$12, $S$12, $Q$13, $S$13, $Q$14, $S$14, $Q$15, $S$15, $Q$16, $S$16, $Q$17, $S$17, $Q$18, $S$18,$Q$19,$S$19,$Q$20,$S$20,$Q$21,$S$21,$Q$22,$S$22,$Q$23,$S$23,$Q$24,$S$24), $S$10))*bp, 0)</f>
        <v>0</v>
      </c>
      <c r="O6" s="39">
        <f>IFERROR(N6*E6,0)</f>
        <v>0</v>
      </c>
      <c r="P6" s="2"/>
      <c r="Q6" s="1" t="s">
        <v>17</v>
      </c>
      <c r="R6" s="3">
        <v>0.11</v>
      </c>
    </row>
    <row r="7" spans="2:26" x14ac:dyDescent="0.35">
      <c r="B7" s="29">
        <v>2</v>
      </c>
      <c r="C7" s="30"/>
      <c r="D7" s="30"/>
      <c r="E7" s="31"/>
      <c r="F7" s="130"/>
      <c r="G7" s="114"/>
      <c r="H7" s="116"/>
      <c r="I7" s="117">
        <f t="shared" ref="I7:I26" si="1">H7*E7</f>
        <v>0</v>
      </c>
      <c r="J7" s="118" cm="1">
        <f t="array" ref="J7">IFERROR(_xlfn.SWITCH(G7, $Q$10, $R$10, $Q$11, $R$11, $Q$12, $R$12, $Q$13, $R$13, $Q$14, $R$14, $Q$15, $R$15, $Q$16, $R$16, $Q$17, $R$17, $Q$18, $R$18,$Q$19,$R$19,$Q$20,$R$20,$Q$21,$R$21,$Q$22,$R$22,$Q$23,$R$23,$Q$24,$R$24), 0)</f>
        <v>0</v>
      </c>
      <c r="K7" s="119">
        <f t="shared" ref="K7:K26" si="2">IFERROR(H7*(1-J7),0)</f>
        <v>0</v>
      </c>
      <c r="L7" s="120">
        <f t="shared" ref="L7:L26" si="3">IFERROR(K7*E7,0)/$L$5</f>
        <v>0</v>
      </c>
      <c r="M7" s="40">
        <f>IFERROR(K7*E7,0)</f>
        <v>0</v>
      </c>
      <c r="N7" s="121" cm="1">
        <f t="array" ref="N7">IFERROR(K7*(1+IFERROR(_xlfn.SWITCH(G7, $Q$10, $S$10, $Q$11, $S$11, $Q$12, $S$12, $Q$13, $S$13, $Q$14, $S$14, $Q$15, $S$15, $Q$16, $S$16, $Q$17, $S$17, $Q$18, $S$18,$Q$19,$S$19,$Q$20,$S$20,$Q$21,$S$21,$Q$22,$S$22,$Q$23,$S$23,$Q$24,$S$24), $S$10))*bp, 0)</f>
        <v>0</v>
      </c>
      <c r="O7" s="40">
        <f t="shared" ref="O7:O26" si="4">IFERROR(N7*E7,0)</f>
        <v>0</v>
      </c>
      <c r="Q7" s="1" t="s">
        <v>19</v>
      </c>
      <c r="R7" s="4">
        <v>1</v>
      </c>
    </row>
    <row r="8" spans="2:26" ht="13.5" thickBot="1" x14ac:dyDescent="0.4">
      <c r="B8" s="29">
        <v>3</v>
      </c>
      <c r="C8" s="30"/>
      <c r="D8" s="30"/>
      <c r="E8" s="31"/>
      <c r="F8" s="130"/>
      <c r="G8" s="114"/>
      <c r="H8" s="116"/>
      <c r="I8" s="117">
        <f t="shared" si="1"/>
        <v>0</v>
      </c>
      <c r="J8" s="118" cm="1">
        <f t="array" ref="J8">IFERROR(_xlfn.SWITCH(G8, $Q$10, $R$10, $Q$11, $R$11, $Q$12, $R$12, $Q$13, $R$13, $Q$14, $R$14, $Q$15, $R$15, $Q$16, $R$16, $Q$17, $R$17, $Q$18, $R$18,$Q$19,$R$19,$Q$20,$R$20,$Q$21,$R$21,$Q$22,$R$22,$Q$23,$R$23,$Q$24,$R$24), 0)</f>
        <v>0</v>
      </c>
      <c r="K8" s="119">
        <f t="shared" si="2"/>
        <v>0</v>
      </c>
      <c r="L8" s="120">
        <f t="shared" si="3"/>
        <v>0</v>
      </c>
      <c r="M8" s="40">
        <f t="shared" ref="M8:M26" si="5">IFERROR(K8*E8,0)</f>
        <v>0</v>
      </c>
      <c r="N8" s="121" cm="1">
        <f t="array" ref="N8">IFERROR(K8*(1+IFERROR(_xlfn.SWITCH(G8, $Q$10, $S$10, $Q$11, $S$11, $Q$12, $S$12, $Q$13, $S$13, $Q$14, $S$14, $Q$15, $S$15, $Q$16, $S$16, $Q$17, $S$17, $Q$18, $S$18,$Q$19,$S$19,$Q$20,$S$20,$Q$21,$S$21,$Q$22,$S$22,$Q$23,$S$23,$Q$24,$S$24), $S$10))*bp, 0)</f>
        <v>0</v>
      </c>
      <c r="O8" s="40">
        <f t="shared" si="4"/>
        <v>0</v>
      </c>
      <c r="R8" s="4"/>
    </row>
    <row r="9" spans="2:26" ht="15" thickBot="1" x14ac:dyDescent="0.4">
      <c r="B9" s="29">
        <v>4</v>
      </c>
      <c r="C9" s="32"/>
      <c r="D9" s="32"/>
      <c r="E9" s="31"/>
      <c r="F9" s="130"/>
      <c r="G9" s="114"/>
      <c r="H9" s="116"/>
      <c r="I9" s="117">
        <f t="shared" si="1"/>
        <v>0</v>
      </c>
      <c r="J9" s="118" cm="1">
        <f t="array" ref="J9">IFERROR(_xlfn.SWITCH(G9, $Q$10, $R$10, $Q$11, $R$11, $Q$12, $R$12, $Q$13, $R$13, $Q$14, $R$14, $Q$15, $R$15, $Q$16, $R$16, $Q$17, $R$17, $Q$18, $R$18,$Q$19,$R$19,$Q$20,$R$20,$Q$21,$R$21,$Q$22,$R$22,$Q$23,$R$23,$Q$24,$R$24), 0)</f>
        <v>0</v>
      </c>
      <c r="K9" s="119">
        <f t="shared" si="2"/>
        <v>0</v>
      </c>
      <c r="L9" s="120">
        <f t="shared" si="3"/>
        <v>0</v>
      </c>
      <c r="M9" s="40">
        <f t="shared" si="5"/>
        <v>0</v>
      </c>
      <c r="N9" s="121" cm="1">
        <f t="array" ref="N9">IFERROR(K9*(1+IFERROR(_xlfn.SWITCH(G9, $Q$10, $S$10, $Q$11, $S$11, $Q$12, $S$12, $Q$13, $S$13, $Q$14, $S$14, $Q$15, $S$15, $Q$16, $S$16, $Q$17, $S$17, $Q$18, $S$18,$Q$19,$S$19,$Q$20,$S$20,$Q$21,$S$21,$Q$22,$S$22,$Q$23,$S$23,$Q$24,$S$24), $S$10))*bp, 0)</f>
        <v>0</v>
      </c>
      <c r="O9" s="40">
        <f t="shared" si="4"/>
        <v>0</v>
      </c>
      <c r="R9" s="61" t="s">
        <v>54</v>
      </c>
      <c r="S9" s="60" t="s">
        <v>55</v>
      </c>
      <c r="U9" t="s">
        <v>61</v>
      </c>
      <c r="V9" t="s">
        <v>8</v>
      </c>
      <c r="W9" t="s">
        <v>63</v>
      </c>
      <c r="X9" t="s">
        <v>65</v>
      </c>
      <c r="Y9" t="s">
        <v>64</v>
      </c>
      <c r="Z9" t="s">
        <v>66</v>
      </c>
    </row>
    <row r="10" spans="2:26" ht="14.5" x14ac:dyDescent="0.35">
      <c r="B10" s="29">
        <v>5</v>
      </c>
      <c r="C10" s="32"/>
      <c r="D10" s="32"/>
      <c r="E10" s="31"/>
      <c r="F10" s="130"/>
      <c r="G10" s="114"/>
      <c r="H10" s="116"/>
      <c r="I10" s="117">
        <f t="shared" si="1"/>
        <v>0</v>
      </c>
      <c r="J10" s="118" cm="1">
        <f t="array" ref="J10">IFERROR(_xlfn.SWITCH(G10, $Q$10, $R$10, $Q$11, $R$11, $Q$12, $R$12, $Q$13, $R$13, $Q$14, $R$14, $Q$15, $R$15, $Q$16, $R$16, $Q$17, $R$17, $Q$18, $R$18,$Q$19,$R$19,$Q$20,$R$20,$Q$21,$R$21,$Q$22,$R$22,$Q$23,$R$23,$Q$24,$R$24), 0)</f>
        <v>0</v>
      </c>
      <c r="K10" s="119">
        <f t="shared" si="2"/>
        <v>0</v>
      </c>
      <c r="L10" s="120">
        <f t="shared" si="3"/>
        <v>0</v>
      </c>
      <c r="M10" s="40">
        <f t="shared" si="5"/>
        <v>0</v>
      </c>
      <c r="N10" s="121" cm="1">
        <f t="array" ref="N10">IFERROR(K10*(1+IFERROR(_xlfn.SWITCH(G10, $Q$10, $S$10, $Q$11, $S$11, $Q$12, $S$12, $Q$13, $S$13, $Q$14, $S$14, $Q$15, $S$15, $Q$16, $S$16, $Q$17, $S$17, $Q$18, $S$18,$Q$19,$S$19,$Q$20,$S$20,$Q$21,$S$21,$Q$22,$S$22,$Q$23,$S$23,$Q$24,$S$24), $S$10))*bp, 0)</f>
        <v>0</v>
      </c>
      <c r="O10" s="40">
        <f t="shared" si="4"/>
        <v>0</v>
      </c>
      <c r="Q10" s="62" t="s">
        <v>21</v>
      </c>
      <c r="R10" s="71">
        <v>0</v>
      </c>
      <c r="S10" s="59">
        <f>isaas</f>
        <v>0.13830000000000001</v>
      </c>
      <c r="U10" t="s">
        <v>21</v>
      </c>
      <c r="V10" s="137">
        <f>'Opp Name'!$E$6</f>
        <v>0</v>
      </c>
      <c r="W10" s="136">
        <f>SUMIF('Opp Name'!$F:$F,Table14[[#This Row],[Group]],'Opp Name'!$I:$I)</f>
        <v>0</v>
      </c>
      <c r="X10" s="136" t="e">
        <f>W10/V10</f>
        <v>#DIV/0!</v>
      </c>
      <c r="Y10" s="136">
        <f>SUMIF('Opp Name'!$F:$F,Table14[[#This Row],[Group]],'Opp Name'!$M:$M)</f>
        <v>0</v>
      </c>
      <c r="Z10" s="136" t="e">
        <f>Y10/V10</f>
        <v>#DIV/0!</v>
      </c>
    </row>
    <row r="11" spans="2:26" ht="14.5" x14ac:dyDescent="0.35">
      <c r="B11" s="29">
        <v>6</v>
      </c>
      <c r="C11" s="30"/>
      <c r="D11" s="30"/>
      <c r="E11" s="31"/>
      <c r="F11" s="130"/>
      <c r="G11" s="114"/>
      <c r="H11" s="116"/>
      <c r="I11" s="117">
        <f t="shared" si="1"/>
        <v>0</v>
      </c>
      <c r="J11" s="118" cm="1">
        <f t="array" ref="J11">IFERROR(_xlfn.SWITCH(G11, $Q$10, $R$10, $Q$11, $R$11, $Q$12, $R$12, $Q$13, $R$13, $Q$14, $R$14, $Q$15, $R$15, $Q$16, $R$16, $Q$17, $R$17, $Q$18, $R$18,$Q$19,$R$19,$Q$20,$R$20,$Q$21,$R$21,$Q$22,$R$22,$Q$23,$R$23,$Q$24,$R$24), 0)</f>
        <v>0</v>
      </c>
      <c r="K11" s="119">
        <f t="shared" si="2"/>
        <v>0</v>
      </c>
      <c r="L11" s="120">
        <f t="shared" si="3"/>
        <v>0</v>
      </c>
      <c r="M11" s="40">
        <f t="shared" si="5"/>
        <v>0</v>
      </c>
      <c r="N11" s="121" cm="1">
        <f t="array" ref="N11">IFERROR(K11*(1+IFERROR(_xlfn.SWITCH(G11, $Q$10, $S$10, $Q$11, $S$11, $Q$12, $S$12, $Q$13, $S$13, $Q$14, $S$14, $Q$15, $S$15, $Q$16, $S$16, $Q$17, $S$17, $Q$18, $S$18,$Q$19,$S$19,$Q$20,$S$20,$Q$21,$S$21,$Q$22,$S$22,$Q$23,$S$23,$Q$24,$S$24), $S$10))*bp, 0)</f>
        <v>0</v>
      </c>
      <c r="O11" s="40">
        <f t="shared" si="4"/>
        <v>0</v>
      </c>
      <c r="Q11" s="63" t="s">
        <v>22</v>
      </c>
      <c r="R11" s="72">
        <v>0</v>
      </c>
      <c r="S11" s="51">
        <f>isaas</f>
        <v>0.13830000000000001</v>
      </c>
      <c r="U11" t="s">
        <v>60</v>
      </c>
      <c r="V11">
        <f>'Opp Name'!$E$6</f>
        <v>0</v>
      </c>
      <c r="W11" s="136">
        <f>SUMIF('Opp Name'!$F:$F,Table14[[#This Row],[Group]],'Opp Name'!$I:$I)</f>
        <v>0</v>
      </c>
      <c r="X11" s="136" t="e">
        <f t="shared" ref="X11:X12" si="6">W11/V11</f>
        <v>#DIV/0!</v>
      </c>
      <c r="Y11" s="136">
        <f>SUMIF('Opp Name'!$F:$F,Table14[[#This Row],[Group]],'Opp Name'!$M:$M)</f>
        <v>0</v>
      </c>
      <c r="Z11" s="136" t="e">
        <f>Y11/V11</f>
        <v>#DIV/0!</v>
      </c>
    </row>
    <row r="12" spans="2:26" ht="14.5" x14ac:dyDescent="0.35">
      <c r="B12" s="29">
        <v>7</v>
      </c>
      <c r="C12" s="30"/>
      <c r="D12" s="30"/>
      <c r="E12" s="31"/>
      <c r="F12" s="130"/>
      <c r="G12" s="114"/>
      <c r="H12" s="116"/>
      <c r="I12" s="117">
        <f t="shared" si="1"/>
        <v>0</v>
      </c>
      <c r="J12" s="118" cm="1">
        <f t="array" ref="J12">IFERROR(_xlfn.SWITCH(G12, $Q$10, $R$10, $Q$11, $R$11, $Q$12, $R$12, $Q$13, $R$13, $Q$14, $R$14, $Q$15, $R$15, $Q$16, $R$16, $Q$17, $R$17, $Q$18, $R$18,$Q$19,$R$19,$Q$20,$R$20,$Q$21,$R$21,$Q$22,$R$22,$Q$23,$R$23,$Q$24,$R$24), 0)</f>
        <v>0</v>
      </c>
      <c r="K12" s="119">
        <f t="shared" si="2"/>
        <v>0</v>
      </c>
      <c r="L12" s="120">
        <f t="shared" si="3"/>
        <v>0</v>
      </c>
      <c r="M12" s="40">
        <f t="shared" si="5"/>
        <v>0</v>
      </c>
      <c r="N12" s="121" cm="1">
        <f t="array" ref="N12">IFERROR(K12*(1+IFERROR(_xlfn.SWITCH(G12, $Q$10, $S$10, $Q$11, $S$11, $Q$12, $S$12, $Q$13, $S$13, $Q$14, $S$14, $Q$15, $S$15, $Q$16, $S$16, $Q$17, $S$17, $Q$18, $S$18,$Q$19,$S$19,$Q$20,$S$20,$Q$21,$S$21,$Q$22,$S$22,$Q$23,$S$23,$Q$24,$S$24), $S$10))*bp, 0)</f>
        <v>0</v>
      </c>
      <c r="O12" s="40">
        <f t="shared" si="4"/>
        <v>0</v>
      </c>
      <c r="Q12" s="64" t="s">
        <v>20</v>
      </c>
      <c r="R12" s="73">
        <v>0</v>
      </c>
      <c r="S12" s="52">
        <f>isaas</f>
        <v>0.13830000000000001</v>
      </c>
      <c r="U12" t="s">
        <v>68</v>
      </c>
      <c r="V12">
        <f>'Opp Name'!$E$6</f>
        <v>0</v>
      </c>
      <c r="W12" s="136">
        <f>SUMIF('Opp Name'!$F:$F,Table14[[#This Row],[Group]],'Opp Name'!$I:$I)</f>
        <v>0</v>
      </c>
      <c r="X12" s="136" t="e">
        <f t="shared" si="6"/>
        <v>#DIV/0!</v>
      </c>
      <c r="Y12" s="136">
        <f>SUMIF('Opp Name'!$F:$F,Table14[[#This Row],[Group]],'Opp Name'!$M:$M)</f>
        <v>0</v>
      </c>
      <c r="Z12" s="136" t="e">
        <f>Y12/V12</f>
        <v>#DIV/0!</v>
      </c>
    </row>
    <row r="13" spans="2:26" ht="14.5" x14ac:dyDescent="0.35">
      <c r="B13" s="29">
        <v>8</v>
      </c>
      <c r="C13" s="30"/>
      <c r="D13" s="30"/>
      <c r="E13" s="31"/>
      <c r="F13" s="130"/>
      <c r="G13" s="114"/>
      <c r="H13" s="116"/>
      <c r="I13" s="117">
        <f t="shared" si="1"/>
        <v>0</v>
      </c>
      <c r="J13" s="118" cm="1">
        <f t="array" ref="J13">IFERROR(_xlfn.SWITCH(G13, $Q$10, $R$10, $Q$11, $R$11, $Q$12, $R$12, $Q$13, $R$13, $Q$14, $R$14, $Q$15, $R$15, $Q$16, $R$16, $Q$17, $R$17, $Q$18, $R$18,$Q$19,$R$19,$Q$20,$R$20,$Q$21,$R$21,$Q$22,$R$22,$Q$23,$R$23,$Q$24,$R$24), 0)</f>
        <v>0</v>
      </c>
      <c r="K13" s="119">
        <f t="shared" si="2"/>
        <v>0</v>
      </c>
      <c r="L13" s="120">
        <f t="shared" si="3"/>
        <v>0</v>
      </c>
      <c r="M13" s="40">
        <f t="shared" si="5"/>
        <v>0</v>
      </c>
      <c r="N13" s="121" cm="1">
        <f t="array" ref="N13">IFERROR(K13*(1+IFERROR(_xlfn.SWITCH(G13, $Q$10, $S$10, $Q$11, $S$11, $Q$12, $S$12, $Q$13, $S$13, $Q$14, $S$14, $Q$15, $S$15, $Q$16, $S$16, $Q$17, $S$17, $Q$18, $S$18,$Q$19,$S$19,$Q$20,$S$20,$Q$21,$S$21,$Q$22,$S$22,$Q$23,$S$23,$Q$24,$S$24), $S$10))*bp, 0)</f>
        <v>0</v>
      </c>
      <c r="O13" s="40">
        <f t="shared" si="4"/>
        <v>0</v>
      </c>
      <c r="Q13" s="65" t="s">
        <v>18</v>
      </c>
      <c r="R13" s="74">
        <v>0</v>
      </c>
      <c r="S13" s="53">
        <f>iserv</f>
        <v>7.0099999999999996E-2</v>
      </c>
      <c r="U13" s="1" t="s">
        <v>69</v>
      </c>
      <c r="V13" s="1">
        <f>'Opp Name'!$E$6</f>
        <v>0</v>
      </c>
      <c r="W13" s="147">
        <f>SUMIF('Opp Name'!$F:$F,Table14[[#This Row],[Group]],'Opp Name'!$I:$I)</f>
        <v>0</v>
      </c>
      <c r="X13" s="147" t="e">
        <f t="shared" ref="X13:X21" si="7">W13/V13</f>
        <v>#DIV/0!</v>
      </c>
      <c r="Y13" s="147">
        <f>SUMIF('Opp Name'!$F:$F,Table14[[#This Row],[Group]],'Opp Name'!$M:$M)</f>
        <v>0</v>
      </c>
      <c r="Z13" s="136" t="e">
        <f t="shared" ref="Z13:Z23" si="8">Y13/V13</f>
        <v>#DIV/0!</v>
      </c>
    </row>
    <row r="14" spans="2:26" ht="15.65" customHeight="1" x14ac:dyDescent="0.35">
      <c r="B14" s="29">
        <v>9</v>
      </c>
      <c r="C14" s="32"/>
      <c r="D14" s="32"/>
      <c r="E14" s="31"/>
      <c r="F14" s="130"/>
      <c r="G14" s="114"/>
      <c r="H14" s="116"/>
      <c r="I14" s="117">
        <f t="shared" si="1"/>
        <v>0</v>
      </c>
      <c r="J14" s="118" cm="1">
        <f t="array" ref="J14">IFERROR(_xlfn.SWITCH(G14, $Q$10, $R$10, $Q$11, $R$11, $Q$12, $R$12, $Q$13, $R$13, $Q$14, $R$14, $Q$15, $R$15, $Q$16, $R$16, $Q$17, $R$17, $Q$18, $R$18,$Q$19,$R$19,$Q$20,$R$20,$Q$21,$R$21,$Q$22,$R$22,$Q$23,$R$23,$Q$24,$R$24), 0)</f>
        <v>0</v>
      </c>
      <c r="K14" s="119">
        <f t="shared" si="2"/>
        <v>0</v>
      </c>
      <c r="L14" s="120">
        <f t="shared" si="3"/>
        <v>0</v>
      </c>
      <c r="M14" s="40">
        <f t="shared" si="5"/>
        <v>0</v>
      </c>
      <c r="N14" s="121" cm="1">
        <f t="array" ref="N14">IFERROR(K14*(1+IFERROR(_xlfn.SWITCH(G14, $Q$10, $S$10, $Q$11, $S$11, $Q$12, $S$12, $Q$13, $S$13, $Q$14, $S$14, $Q$15, $S$15, $Q$16, $S$16, $Q$17, $S$17, $Q$18, $S$18,$Q$19,$S$19,$Q$20,$S$20,$Q$21,$S$21,$Q$22,$S$22,$Q$23,$S$23,$Q$24,$S$24), $S$10))*bp, 0)</f>
        <v>0</v>
      </c>
      <c r="O14" s="40">
        <f t="shared" si="4"/>
        <v>0</v>
      </c>
      <c r="Q14" s="102" t="s">
        <v>58</v>
      </c>
      <c r="R14" s="103">
        <v>0</v>
      </c>
      <c r="S14" s="104">
        <f>isaas</f>
        <v>0.13830000000000001</v>
      </c>
      <c r="U14" s="1" t="s">
        <v>70</v>
      </c>
      <c r="V14" s="1">
        <f>'Opp Name'!$E$6</f>
        <v>0</v>
      </c>
      <c r="W14" s="147">
        <f>SUMIF('Opp Name'!$F:$F,Table14[[#This Row],[Group]],'Opp Name'!$I:$I)</f>
        <v>0</v>
      </c>
      <c r="X14" s="147" t="e">
        <f t="shared" si="7"/>
        <v>#DIV/0!</v>
      </c>
      <c r="Y14" s="147">
        <f>SUMIF('Opp Name'!$F:$F,Table14[[#This Row],[Group]],'Opp Name'!$M:$M)</f>
        <v>0</v>
      </c>
      <c r="Z14" s="136" t="e">
        <f t="shared" si="8"/>
        <v>#DIV/0!</v>
      </c>
    </row>
    <row r="15" spans="2:26" ht="15.65" customHeight="1" x14ac:dyDescent="0.35">
      <c r="B15" s="29">
        <v>10</v>
      </c>
      <c r="C15" s="32"/>
      <c r="D15" s="32"/>
      <c r="E15" s="31"/>
      <c r="F15" s="130"/>
      <c r="G15" s="114"/>
      <c r="H15" s="116"/>
      <c r="I15" s="117">
        <f t="shared" si="1"/>
        <v>0</v>
      </c>
      <c r="J15" s="118" cm="1">
        <f t="array" ref="J15">IFERROR(_xlfn.SWITCH(G15, $Q$10, $R$10, $Q$11, $R$11, $Q$12, $R$12, $Q$13, $R$13, $Q$14, $R$14, $Q$15, $R$15, $Q$16, $R$16, $Q$17, $R$17, $Q$18, $R$18,$Q$19,$R$19,$Q$20,$R$20,$Q$21,$R$21,$Q$22,$R$22,$Q$23,$R$23,$Q$24,$R$24), 0)</f>
        <v>0</v>
      </c>
      <c r="K15" s="119">
        <f t="shared" si="2"/>
        <v>0</v>
      </c>
      <c r="L15" s="120">
        <f t="shared" si="3"/>
        <v>0</v>
      </c>
      <c r="M15" s="40">
        <f t="shared" si="5"/>
        <v>0</v>
      </c>
      <c r="N15" s="121" cm="1">
        <f t="array" ref="N15">IFERROR(K15*(1+IFERROR(_xlfn.SWITCH(G15, $Q$10, $S$10, $Q$11, $S$11, $Q$12, $S$12, $Q$13, $S$13, $Q$14, $S$14, $Q$15, $S$15, $Q$16, $S$16, $Q$17, $S$17, $Q$18, $S$18,$Q$19,$S$19,$Q$20,$S$20,$Q$21,$S$21,$Q$22,$S$22,$Q$23,$S$23,$Q$24,$S$24), $S$10))*bp, 0)</f>
        <v>0</v>
      </c>
      <c r="O15" s="40">
        <f t="shared" si="4"/>
        <v>0</v>
      </c>
      <c r="Q15" s="96" t="s">
        <v>60</v>
      </c>
      <c r="R15" s="97">
        <v>0</v>
      </c>
      <c r="S15" s="98">
        <f>isaas</f>
        <v>0.13830000000000001</v>
      </c>
      <c r="U15" s="1" t="s">
        <v>71</v>
      </c>
      <c r="V15" s="1">
        <f>'Opp Name'!$E$6</f>
        <v>0</v>
      </c>
      <c r="W15" s="147">
        <f>SUMIF('Opp Name'!$F:$F,Table14[[#This Row],[Group]],'Opp Name'!$I:$I)</f>
        <v>0</v>
      </c>
      <c r="X15" s="147" t="e">
        <f t="shared" si="7"/>
        <v>#DIV/0!</v>
      </c>
      <c r="Y15" s="147">
        <f>SUMIF('Opp Name'!$F:$F,Table14[[#This Row],[Group]],'Opp Name'!$M:$M)</f>
        <v>0</v>
      </c>
      <c r="Z15" s="136" t="e">
        <f t="shared" si="8"/>
        <v>#DIV/0!</v>
      </c>
    </row>
    <row r="16" spans="2:26" ht="14.5" x14ac:dyDescent="0.35">
      <c r="B16" s="29">
        <v>11</v>
      </c>
      <c r="C16" s="33"/>
      <c r="D16" s="33"/>
      <c r="E16" s="34"/>
      <c r="F16" s="131"/>
      <c r="G16" s="114"/>
      <c r="H16" s="116"/>
      <c r="I16" s="117">
        <f t="shared" si="1"/>
        <v>0</v>
      </c>
      <c r="J16" s="118" cm="1">
        <f t="array" ref="J16">IFERROR(_xlfn.SWITCH(G16, $Q$10, $R$10, $Q$11, $R$11, $Q$12, $R$12, $Q$13, $R$13, $Q$14, $R$14, $Q$15, $R$15, $Q$16, $R$16, $Q$17, $R$17, $Q$18, $R$18,$Q$19,$R$19,$Q$20,$R$20,$Q$21,$R$21,$Q$22,$R$22,$Q$23,$R$23,$Q$24,$R$24), 0)</f>
        <v>0</v>
      </c>
      <c r="K16" s="119">
        <f t="shared" si="2"/>
        <v>0</v>
      </c>
      <c r="L16" s="120">
        <f t="shared" si="3"/>
        <v>0</v>
      </c>
      <c r="M16" s="40">
        <f t="shared" si="5"/>
        <v>0</v>
      </c>
      <c r="N16" s="121" cm="1">
        <f t="array" ref="N16">IFERROR(K16*(1+IFERROR(_xlfn.SWITCH(G16, $Q$10, $S$10, $Q$11, $S$11, $Q$12, $S$12, $Q$13, $S$13, $Q$14, $S$14, $Q$15, $S$15, $Q$16, $S$16, $Q$17, $S$17, $Q$18, $S$18,$Q$19,$S$19,$Q$20,$S$20,$Q$21,$S$21,$Q$22,$S$22,$Q$23,$S$23,$Q$24,$S$24), $S$10))*bp, 0)</f>
        <v>0</v>
      </c>
      <c r="O16" s="40">
        <f t="shared" si="4"/>
        <v>0</v>
      </c>
      <c r="Q16" s="99" t="s">
        <v>59</v>
      </c>
      <c r="R16" s="100">
        <v>0</v>
      </c>
      <c r="S16" s="101">
        <f>isaas</f>
        <v>0.13830000000000001</v>
      </c>
      <c r="U16" s="1" t="s">
        <v>72</v>
      </c>
      <c r="V16" s="1">
        <f>'Opp Name'!$E$6</f>
        <v>0</v>
      </c>
      <c r="W16" s="147">
        <f>SUMIF('Opp Name'!$F:$F,Table14[[#This Row],[Group]],'Opp Name'!$I:$I)</f>
        <v>0</v>
      </c>
      <c r="X16" s="147" t="e">
        <f t="shared" si="7"/>
        <v>#DIV/0!</v>
      </c>
      <c r="Y16" s="147">
        <f>SUMIF('Opp Name'!$F:$F,Table14[[#This Row],[Group]],'Opp Name'!$M:$M)</f>
        <v>0</v>
      </c>
      <c r="Z16" s="136" t="e">
        <f t="shared" si="8"/>
        <v>#DIV/0!</v>
      </c>
    </row>
    <row r="17" spans="2:26" ht="14.5" x14ac:dyDescent="0.35">
      <c r="B17" s="29">
        <v>12</v>
      </c>
      <c r="C17" s="33"/>
      <c r="D17" s="33"/>
      <c r="E17" s="34"/>
      <c r="F17" s="131"/>
      <c r="G17" s="114"/>
      <c r="H17" s="116"/>
      <c r="I17" s="117">
        <f t="shared" si="1"/>
        <v>0</v>
      </c>
      <c r="J17" s="118" cm="1">
        <f t="array" ref="J17">IFERROR(_xlfn.SWITCH(G17, $Q$10, $R$10, $Q$11, $R$11, $Q$12, $R$12, $Q$13, $R$13, $Q$14, $R$14, $Q$15, $R$15, $Q$16, $R$16, $Q$17, $R$17, $Q$18, $R$18,$Q$19,$R$19,$Q$20,$R$20,$Q$21,$R$21,$Q$22,$R$22,$Q$23,$R$23,$Q$24,$R$24), 0)</f>
        <v>0</v>
      </c>
      <c r="K17" s="119">
        <f t="shared" si="2"/>
        <v>0</v>
      </c>
      <c r="L17" s="120">
        <f t="shared" si="3"/>
        <v>0</v>
      </c>
      <c r="M17" s="40">
        <f t="shared" si="5"/>
        <v>0</v>
      </c>
      <c r="N17" s="121" cm="1">
        <f t="array" ref="N17">IFERROR(K17*(1+IFERROR(_xlfn.SWITCH(G17, $Q$10, $S$10, $Q$11, $S$11, $Q$12, $S$12, $Q$13, $S$13, $Q$14, $S$14, $Q$15, $S$15, $Q$16, $S$16, $Q$17, $S$17, $Q$18, $S$18,$Q$19,$S$19,$Q$20,$S$20,$Q$21,$S$21,$Q$22,$S$22,$Q$23,$S$23,$Q$24,$S$24), $S$10))*bp, 0)</f>
        <v>0</v>
      </c>
      <c r="O17" s="40">
        <f t="shared" si="4"/>
        <v>0</v>
      </c>
      <c r="Q17" s="66" t="s">
        <v>23</v>
      </c>
      <c r="R17" s="75">
        <v>0</v>
      </c>
      <c r="S17" s="54">
        <f>isaas</f>
        <v>0.13830000000000001</v>
      </c>
      <c r="U17" s="1" t="s">
        <v>73</v>
      </c>
      <c r="V17" s="1">
        <f>'Opp Name'!$E$6</f>
        <v>0</v>
      </c>
      <c r="W17" s="147">
        <f>SUMIF('Opp Name'!$F:$F,Table14[[#This Row],[Group]],'Opp Name'!$I:$I)</f>
        <v>0</v>
      </c>
      <c r="X17" s="147" t="e">
        <f t="shared" si="7"/>
        <v>#DIV/0!</v>
      </c>
      <c r="Y17" s="147">
        <f>SUMIF('Opp Name'!$F:$F,Table14[[#This Row],[Group]],'Opp Name'!$M:$M)</f>
        <v>0</v>
      </c>
      <c r="Z17" s="136" t="e">
        <f t="shared" si="8"/>
        <v>#DIV/0!</v>
      </c>
    </row>
    <row r="18" spans="2:26" ht="14.5" x14ac:dyDescent="0.35">
      <c r="B18" s="29">
        <v>13</v>
      </c>
      <c r="C18" s="33"/>
      <c r="D18" s="33"/>
      <c r="E18" s="34"/>
      <c r="F18" s="131"/>
      <c r="G18" s="114"/>
      <c r="H18" s="116"/>
      <c r="I18" s="117">
        <f t="shared" si="1"/>
        <v>0</v>
      </c>
      <c r="J18" s="118" cm="1">
        <f t="array" ref="J18">IFERROR(_xlfn.SWITCH(G18, $Q$10, $R$10, $Q$11, $R$11, $Q$12, $R$12, $Q$13, $R$13, $Q$14, $R$14, $Q$15, $R$15, $Q$16, $R$16, $Q$17, $R$17, $Q$18, $R$18,$Q$19,$R$19,$Q$20,$R$20,$Q$21,$R$21,$Q$22,$R$22,$Q$23,$R$23,$Q$24,$R$24), 0)</f>
        <v>0</v>
      </c>
      <c r="K18" s="119">
        <f t="shared" si="2"/>
        <v>0</v>
      </c>
      <c r="L18" s="120">
        <f t="shared" si="3"/>
        <v>0</v>
      </c>
      <c r="M18" s="40">
        <f t="shared" si="5"/>
        <v>0</v>
      </c>
      <c r="N18" s="121" cm="1">
        <f t="array" ref="N18">IFERROR(K18*(1+IFERROR(_xlfn.SWITCH(G18, $Q$10, $S$10, $Q$11, $S$11, $Q$12, $S$12, $Q$13, $S$13, $Q$14, $S$14, $Q$15, $S$15, $Q$16, $S$16, $Q$17, $S$17, $Q$18, $S$18,$Q$19,$S$19,$Q$20,$S$20,$Q$21,$S$21,$Q$22,$S$22,$Q$23,$S$23,$Q$24,$S$24), $S$10))*bp, 0)</f>
        <v>0</v>
      </c>
      <c r="O18" s="40">
        <f t="shared" si="4"/>
        <v>0</v>
      </c>
      <c r="Q18" s="67" t="s">
        <v>24</v>
      </c>
      <c r="R18" s="76">
        <v>0</v>
      </c>
      <c r="S18" s="55">
        <f>iserv</f>
        <v>7.0099999999999996E-2</v>
      </c>
      <c r="U18" s="1" t="s">
        <v>74</v>
      </c>
      <c r="V18" s="1">
        <f>'Opp Name'!$E$6</f>
        <v>0</v>
      </c>
      <c r="W18" s="147">
        <f>SUMIF('Opp Name'!$F:$F,Table14[[#This Row],[Group]],'Opp Name'!$I:$I)</f>
        <v>0</v>
      </c>
      <c r="X18" s="147" t="e">
        <f t="shared" si="7"/>
        <v>#DIV/0!</v>
      </c>
      <c r="Y18" s="147">
        <f>SUMIF('Opp Name'!$F:$F,Table14[[#This Row],[Group]],'Opp Name'!$M:$M)</f>
        <v>0</v>
      </c>
      <c r="Z18" s="136" t="e">
        <f t="shared" si="8"/>
        <v>#DIV/0!</v>
      </c>
    </row>
    <row r="19" spans="2:26" ht="14.5" x14ac:dyDescent="0.35">
      <c r="B19" s="29">
        <v>14</v>
      </c>
      <c r="C19" s="33"/>
      <c r="D19" s="33"/>
      <c r="E19" s="34"/>
      <c r="F19" s="131"/>
      <c r="G19" s="114"/>
      <c r="H19" s="116"/>
      <c r="I19" s="117">
        <f t="shared" si="1"/>
        <v>0</v>
      </c>
      <c r="J19" s="118" cm="1">
        <f t="array" ref="J19">IFERROR(_xlfn.SWITCH(G19, $Q$10, $R$10, $Q$11, $R$11, $Q$12, $R$12, $Q$13, $R$13, $Q$14, $R$14, $Q$15, $R$15, $Q$16, $R$16, $Q$17, $R$17, $Q$18, $R$18,$Q$19,$R$19,$Q$20,$R$20,$Q$21,$R$21,$Q$22,$R$22,$Q$23,$R$23,$Q$24,$R$24), 0)</f>
        <v>0</v>
      </c>
      <c r="K19" s="119">
        <f t="shared" si="2"/>
        <v>0</v>
      </c>
      <c r="L19" s="120">
        <f t="shared" si="3"/>
        <v>0</v>
      </c>
      <c r="M19" s="40">
        <f t="shared" si="5"/>
        <v>0</v>
      </c>
      <c r="N19" s="121" cm="1">
        <f t="array" ref="N19">IFERROR(K19*(1+IFERROR(_xlfn.SWITCH(G19, $Q$10, $S$10, $Q$11, $S$11, $Q$12, $S$12, $Q$13, $S$13, $Q$14, $S$14, $Q$15, $S$15, $Q$16, $S$16, $Q$17, $S$17, $Q$18, $S$18,$Q$19,$S$19,$Q$20,$S$20,$Q$21,$S$21,$Q$22,$S$22,$Q$23,$S$23,$Q$24,$S$24), $S$10))*bp, 0)</f>
        <v>0</v>
      </c>
      <c r="O19" s="40">
        <f t="shared" si="4"/>
        <v>0</v>
      </c>
      <c r="Q19" s="68" t="s">
        <v>56</v>
      </c>
      <c r="R19" s="77">
        <v>0</v>
      </c>
      <c r="S19" s="56">
        <f>iconn</f>
        <v>0.11</v>
      </c>
      <c r="U19" s="1" t="s">
        <v>62</v>
      </c>
      <c r="V19" s="1">
        <f>'Opp Name'!$E$6</f>
        <v>0</v>
      </c>
      <c r="W19" s="147">
        <f>SUMIF('Opp Name'!$F:$F,Table14[[#This Row],[Group]],'Opp Name'!$I:$I)</f>
        <v>0</v>
      </c>
      <c r="X19" s="147" t="e">
        <f t="shared" si="7"/>
        <v>#DIV/0!</v>
      </c>
      <c r="Y19" s="147">
        <f>SUMIF('Opp Name'!$F:$F,Table14[[#This Row],[Group]],'Opp Name'!$M:$M)</f>
        <v>0</v>
      </c>
      <c r="Z19" s="136" t="e">
        <f t="shared" si="8"/>
        <v>#DIV/0!</v>
      </c>
    </row>
    <row r="20" spans="2:26" ht="14.5" x14ac:dyDescent="0.35">
      <c r="B20" s="29">
        <v>15</v>
      </c>
      <c r="C20" s="33"/>
      <c r="D20" s="33"/>
      <c r="E20" s="34"/>
      <c r="F20" s="131"/>
      <c r="G20" s="114"/>
      <c r="H20" s="116"/>
      <c r="I20" s="117">
        <f t="shared" si="1"/>
        <v>0</v>
      </c>
      <c r="J20" s="118" cm="1">
        <f t="array" ref="J20">IFERROR(_xlfn.SWITCH(G20, $Q$10, $R$10, $Q$11, $R$11, $Q$12, $R$12, $Q$13, $R$13, $Q$14, $R$14, $Q$15, $R$15, $Q$16, $R$16, $Q$17, $R$17, $Q$18, $R$18,$Q$19,$R$19,$Q$20,$R$20,$Q$21,$R$21,$Q$22,$R$22,$Q$23,$R$23,$Q$24,$R$24), 0)</f>
        <v>0</v>
      </c>
      <c r="K20" s="119">
        <f t="shared" si="2"/>
        <v>0</v>
      </c>
      <c r="L20" s="120">
        <f t="shared" si="3"/>
        <v>0</v>
      </c>
      <c r="M20" s="40">
        <f t="shared" si="5"/>
        <v>0</v>
      </c>
      <c r="N20" s="121" cm="1">
        <f t="array" ref="N20">IFERROR(K20*(1+IFERROR(_xlfn.SWITCH(G20, $Q$10, $S$10, $Q$11, $S$11, $Q$12, $S$12, $Q$13, $S$13, $Q$14, $S$14, $Q$15, $S$15, $Q$16, $S$16, $Q$17, $S$17, $Q$18, $S$18,$Q$19,$S$19,$Q$20,$S$20,$Q$21,$S$21,$Q$22,$S$22,$Q$23,$S$23,$Q$24,$S$24), $S$10))*bp, 0)</f>
        <v>0</v>
      </c>
      <c r="O20" s="40">
        <f t="shared" si="4"/>
        <v>0</v>
      </c>
      <c r="Q20" s="69" t="s">
        <v>57</v>
      </c>
      <c r="R20" s="78">
        <v>0</v>
      </c>
      <c r="S20" s="57">
        <f>iconn</f>
        <v>0.11</v>
      </c>
      <c r="U20" s="1" t="s">
        <v>59</v>
      </c>
      <c r="V20" s="1">
        <f>'Opp Name'!$E$6</f>
        <v>0</v>
      </c>
      <c r="W20" s="147">
        <f>SUMIF('Opp Name'!$F:$F,Table14[[#This Row],[Group]],'Opp Name'!$I:$I)</f>
        <v>0</v>
      </c>
      <c r="X20" s="147" t="e">
        <f t="shared" si="7"/>
        <v>#DIV/0!</v>
      </c>
      <c r="Y20" s="147">
        <f>SUMIF('Opp Name'!$F:$F,Table14[[#This Row],[Group]],'Opp Name'!$M:$M)</f>
        <v>0</v>
      </c>
      <c r="Z20" s="136" t="e">
        <f t="shared" si="8"/>
        <v>#DIV/0!</v>
      </c>
    </row>
    <row r="21" spans="2:26" ht="14.5" x14ac:dyDescent="0.35">
      <c r="B21" s="29">
        <v>16</v>
      </c>
      <c r="C21" s="33"/>
      <c r="D21" s="33"/>
      <c r="E21" s="34"/>
      <c r="F21" s="131"/>
      <c r="G21" s="114"/>
      <c r="H21" s="116"/>
      <c r="I21" s="117">
        <f t="shared" si="1"/>
        <v>0</v>
      </c>
      <c r="J21" s="118" cm="1">
        <f t="array" ref="J21">IFERROR(_xlfn.SWITCH(G21, $Q$10, $R$10, $Q$11, $R$11, $Q$12, $R$12, $Q$13, $R$13, $Q$14, $R$14, $Q$15, $R$15, $Q$16, $R$16, $Q$17, $R$17, $Q$18, $R$18,$Q$19,$R$19,$Q$20,$R$20,$Q$21,$R$21,$Q$22,$R$22,$Q$23,$R$23,$Q$24,$R$24), 0)</f>
        <v>0</v>
      </c>
      <c r="K21" s="119">
        <f t="shared" si="2"/>
        <v>0</v>
      </c>
      <c r="L21" s="120">
        <f t="shared" si="3"/>
        <v>0</v>
      </c>
      <c r="M21" s="40">
        <f t="shared" si="5"/>
        <v>0</v>
      </c>
      <c r="N21" s="121" cm="1">
        <f t="array" ref="N21">IFERROR(K21*(1+IFERROR(_xlfn.SWITCH(G21, $Q$10, $S$10, $Q$11, $S$11, $Q$12, $S$12, $Q$13, $S$13, $Q$14, $S$14, $Q$15, $S$15, $Q$16, $S$16, $Q$17, $S$17, $Q$18, $S$18,$Q$19,$S$19,$Q$20,$S$20,$Q$21,$S$21,$Q$22,$S$22,$Q$23,$S$23,$Q$24,$S$24), $S$10))*bp, 0)</f>
        <v>0</v>
      </c>
      <c r="O21" s="40">
        <f t="shared" si="4"/>
        <v>0</v>
      </c>
      <c r="Q21" s="148" t="s">
        <v>75</v>
      </c>
      <c r="R21" s="149">
        <v>0</v>
      </c>
      <c r="S21" s="150">
        <f>isaas</f>
        <v>0.13830000000000001</v>
      </c>
      <c r="T21" s="1" t="s">
        <v>80</v>
      </c>
      <c r="V21" s="1">
        <f>'Opp Name'!$E$6</f>
        <v>0</v>
      </c>
      <c r="W21" s="147">
        <f>SUMIF('Opp Name'!$F:$F,Table14[[#This Row],[Group]],'Opp Name'!$I:$I)</f>
        <v>0</v>
      </c>
      <c r="X21" s="147" t="e">
        <f t="shared" si="7"/>
        <v>#DIV/0!</v>
      </c>
      <c r="Y21" s="147">
        <f>SUMIF('Opp Name'!$F:$F,Table14[[#This Row],[Group]],'Opp Name'!$M:$M)</f>
        <v>0</v>
      </c>
      <c r="Z21" s="136" t="e">
        <f t="shared" si="8"/>
        <v>#DIV/0!</v>
      </c>
    </row>
    <row r="22" spans="2:26" ht="14.5" x14ac:dyDescent="0.35">
      <c r="B22" s="29">
        <v>17</v>
      </c>
      <c r="C22" s="33"/>
      <c r="D22" s="33"/>
      <c r="E22" s="34"/>
      <c r="F22" s="131"/>
      <c r="G22" s="114"/>
      <c r="H22" s="116"/>
      <c r="I22" s="117">
        <f t="shared" si="1"/>
        <v>0</v>
      </c>
      <c r="J22" s="118" cm="1">
        <f t="array" ref="J22">IFERROR(_xlfn.SWITCH(G22, $Q$10, $R$10, $Q$11, $R$11, $Q$12, $R$12, $Q$13, $R$13, $Q$14, $R$14, $Q$15, $R$15, $Q$16, $R$16, $Q$17, $R$17, $Q$18, $R$18,$Q$19,$R$19,$Q$20,$R$20,$Q$21,$R$21,$Q$22,$R$22,$Q$23,$R$23,$Q$24,$R$24), 0)</f>
        <v>0</v>
      </c>
      <c r="K22" s="119">
        <f t="shared" si="2"/>
        <v>0</v>
      </c>
      <c r="L22" s="120">
        <f t="shared" si="3"/>
        <v>0</v>
      </c>
      <c r="M22" s="40">
        <f t="shared" si="5"/>
        <v>0</v>
      </c>
      <c r="N22" s="121" cm="1">
        <f t="array" ref="N22">IFERROR(K22*(1+IFERROR(_xlfn.SWITCH(G22, $Q$10, $S$10, $Q$11, $S$11, $Q$12, $S$12, $Q$13, $S$13, $Q$14, $S$14, $Q$15, $S$15, $Q$16, $S$16, $Q$17, $S$17, $Q$18, $S$18,$Q$19,$S$19,$Q$20,$S$20,$Q$21,$S$21,$Q$22,$S$22,$Q$23,$S$23,$Q$24,$S$24), $S$10))*bp, 0)</f>
        <v>0</v>
      </c>
      <c r="O22" s="40">
        <f t="shared" si="4"/>
        <v>0</v>
      </c>
      <c r="Q22" s="151" t="s">
        <v>76</v>
      </c>
      <c r="R22" s="152">
        <v>0</v>
      </c>
      <c r="S22" s="153">
        <f>isaas</f>
        <v>0.13830000000000001</v>
      </c>
      <c r="T22" s="1" t="s">
        <v>79</v>
      </c>
      <c r="V22" s="1">
        <f>'Opp Name'!$E$6</f>
        <v>0</v>
      </c>
      <c r="W22" s="147">
        <f>SUMIF('Opp Name'!$F:$F,Table14[[#This Row],[Group]],'Opp Name'!$I:$I)</f>
        <v>0</v>
      </c>
      <c r="X22" s="147" t="e">
        <f t="shared" ref="X22:X23" si="9">W22/V22</f>
        <v>#DIV/0!</v>
      </c>
      <c r="Y22" s="147">
        <f>SUMIF('Opp Name'!$F:$F,Table14[[#This Row],[Group]],'Opp Name'!$M:$M)</f>
        <v>0</v>
      </c>
      <c r="Z22" s="136" t="e">
        <f>Y22/V22</f>
        <v>#DIV/0!</v>
      </c>
    </row>
    <row r="23" spans="2:26" ht="14.5" x14ac:dyDescent="0.35">
      <c r="B23" s="29">
        <v>18</v>
      </c>
      <c r="C23" s="33"/>
      <c r="D23" s="33"/>
      <c r="E23" s="34"/>
      <c r="F23" s="131"/>
      <c r="G23" s="114"/>
      <c r="H23" s="116"/>
      <c r="I23" s="117">
        <f t="shared" si="1"/>
        <v>0</v>
      </c>
      <c r="J23" s="118" cm="1">
        <f t="array" ref="J23">IFERROR(_xlfn.SWITCH(G23, $Q$10, $R$10, $Q$11, $R$11, $Q$12, $R$12, $Q$13, $R$13, $Q$14, $R$14, $Q$15, $R$15, $Q$16, $R$16, $Q$17, $R$17, $Q$18, $R$18,$Q$19,$R$19,$Q$20,$R$20,$Q$21,$R$21,$Q$22,$R$22,$Q$23,$R$23,$Q$24,$R$24), 0)</f>
        <v>0</v>
      </c>
      <c r="K23" s="119">
        <f t="shared" si="2"/>
        <v>0</v>
      </c>
      <c r="L23" s="120">
        <f t="shared" si="3"/>
        <v>0</v>
      </c>
      <c r="M23" s="40">
        <f t="shared" si="5"/>
        <v>0</v>
      </c>
      <c r="N23" s="121" cm="1">
        <f t="array" ref="N23">IFERROR(K23*(1+IFERROR(_xlfn.SWITCH(G23, $Q$10, $S$10, $Q$11, $S$11, $Q$12, $S$12, $Q$13, $S$13, $Q$14, $S$14, $Q$15, $S$15, $Q$16, $S$16, $Q$17, $S$17, $Q$18, $S$18,$Q$19,$S$19,$Q$20,$S$20,$Q$21,$S$21,$Q$22,$S$22,$Q$23,$S$23,$Q$24,$S$24), $S$10))*bp, 0)</f>
        <v>0</v>
      </c>
      <c r="O23" s="40">
        <f t="shared" si="4"/>
        <v>0</v>
      </c>
      <c r="Q23" s="154" t="s">
        <v>77</v>
      </c>
      <c r="R23" s="155">
        <v>0</v>
      </c>
      <c r="S23" s="156">
        <f>isaas</f>
        <v>0.13830000000000001</v>
      </c>
      <c r="T23" s="1" t="s">
        <v>78</v>
      </c>
      <c r="V23" s="1">
        <f>'Opp Name'!$E$6</f>
        <v>0</v>
      </c>
      <c r="W23" s="147">
        <f>SUMIF('Opp Name'!$F:$F,Table14[[#This Row],[Group]],'Opp Name'!$I:$I)</f>
        <v>0</v>
      </c>
      <c r="X23" s="147" t="e">
        <f t="shared" si="9"/>
        <v>#DIV/0!</v>
      </c>
      <c r="Y23" s="147">
        <f>SUMIF('Opp Name'!$F:$F,Table14[[#This Row],[Group]],'Opp Name'!$M:$M)</f>
        <v>0</v>
      </c>
      <c r="Z23" s="136" t="e">
        <f t="shared" si="8"/>
        <v>#DIV/0!</v>
      </c>
    </row>
    <row r="24" spans="2:26" ht="15" thickBot="1" x14ac:dyDescent="0.4">
      <c r="B24" s="29">
        <v>19</v>
      </c>
      <c r="C24" s="33"/>
      <c r="D24" s="33"/>
      <c r="E24" s="34"/>
      <c r="F24" s="131"/>
      <c r="G24" s="114"/>
      <c r="H24" s="116"/>
      <c r="I24" s="117">
        <f t="shared" si="1"/>
        <v>0</v>
      </c>
      <c r="J24" s="118" cm="1">
        <f t="array" ref="J24">IFERROR(_xlfn.SWITCH(G24, $Q$10, $R$10, $Q$11, $R$11, $Q$12, $R$12, $Q$13, $R$13, $Q$14, $R$14, $Q$15, $R$15, $Q$16, $R$16, $Q$17, $R$17, $Q$18, $R$18,$Q$19,$R$19,$Q$20,$R$20,$Q$21,$R$21,$Q$22,$R$22,$Q$23,$R$23,$Q$24,$R$24), 0)</f>
        <v>0</v>
      </c>
      <c r="K24" s="119">
        <f t="shared" si="2"/>
        <v>0</v>
      </c>
      <c r="L24" s="120">
        <f t="shared" si="3"/>
        <v>0</v>
      </c>
      <c r="M24" s="40">
        <f t="shared" si="5"/>
        <v>0</v>
      </c>
      <c r="N24" s="121" cm="1">
        <f t="array" ref="N24">IFERROR(K24*(1+IFERROR(_xlfn.SWITCH(G24, $Q$10, $S$10, $Q$11, $S$11, $Q$12, $S$12, $Q$13, $S$13, $Q$14, $S$14, $Q$15, $S$15, $Q$16, $S$16, $Q$17, $S$17, $Q$18, $S$18,$Q$19,$S$19,$Q$20,$S$20,$Q$21,$S$21,$Q$22,$S$22,$Q$23,$S$23,$Q$24,$S$24), $S$10))*bp, 0)</f>
        <v>0</v>
      </c>
      <c r="O24" s="40">
        <f t="shared" si="4"/>
        <v>0</v>
      </c>
      <c r="Q24" s="70"/>
      <c r="R24" s="79">
        <v>0</v>
      </c>
      <c r="S24" s="58">
        <f>isaas</f>
        <v>0.13830000000000001</v>
      </c>
      <c r="U24" s="145" t="s">
        <v>67</v>
      </c>
      <c r="V24" s="145"/>
      <c r="W24" s="146">
        <f>SUBTOTAL(109,Table14[List Price BRL])</f>
        <v>0</v>
      </c>
      <c r="X24" s="146"/>
      <c r="Y24" s="146">
        <f>SUBTOTAL(109,Table14[Discounted Price BRL])</f>
        <v>0</v>
      </c>
      <c r="Z24" s="146"/>
    </row>
    <row r="25" spans="2:26" x14ac:dyDescent="0.35">
      <c r="B25" s="29">
        <v>20</v>
      </c>
      <c r="C25" s="33"/>
      <c r="D25" s="33"/>
      <c r="E25" s="34"/>
      <c r="F25" s="131"/>
      <c r="G25" s="114"/>
      <c r="H25" s="116"/>
      <c r="I25" s="117">
        <f t="shared" si="1"/>
        <v>0</v>
      </c>
      <c r="J25" s="118" cm="1">
        <f t="array" ref="J25">IFERROR(_xlfn.SWITCH(G25, $Q$10, $R$10, $Q$11, $R$11, $Q$12, $R$12, $Q$13, $R$13, $Q$14, $R$14, $Q$15, $R$15, $Q$16, $R$16, $Q$17, $R$17, $Q$18, $R$18,$Q$19,$R$19,$Q$20,$R$20,$Q$21,$R$21,$Q$22,$R$22,$Q$23,$R$23,$Q$24,$R$24), 0)</f>
        <v>0</v>
      </c>
      <c r="K25" s="119">
        <f t="shared" si="2"/>
        <v>0</v>
      </c>
      <c r="L25" s="120">
        <f t="shared" si="3"/>
        <v>0</v>
      </c>
      <c r="M25" s="40">
        <f t="shared" si="5"/>
        <v>0</v>
      </c>
      <c r="N25" s="121" cm="1">
        <f t="array" ref="N25">IFERROR(K25*(1+IFERROR(_xlfn.SWITCH(G25, $Q$10, $S$10, $Q$11, $S$11, $Q$12, $S$12, $Q$13, $S$13, $Q$14, $S$14, $Q$15, $S$15, $Q$16, $S$16, $Q$17, $S$17, $Q$18, $S$18,$Q$19,$S$19,$Q$20,$S$20,$Q$21,$S$21,$Q$22,$S$22,$Q$23,$S$23,$Q$24,$S$24), $S$10))*bp, 0)</f>
        <v>0</v>
      </c>
      <c r="O25" s="40">
        <f t="shared" si="4"/>
        <v>0</v>
      </c>
    </row>
    <row r="26" spans="2:26" ht="13.5" thickBot="1" x14ac:dyDescent="0.4">
      <c r="B26" s="35">
        <v>21</v>
      </c>
      <c r="C26" s="36"/>
      <c r="D26" s="36"/>
      <c r="E26" s="37"/>
      <c r="F26" s="132"/>
      <c r="G26" s="115"/>
      <c r="H26" s="122"/>
      <c r="I26" s="123">
        <f t="shared" si="1"/>
        <v>0</v>
      </c>
      <c r="J26" s="124" cm="1">
        <f t="array" ref="J26">IFERROR(_xlfn.SWITCH(G26, $Q$10, $R$10, $Q$11, $R$11, $Q$12, $R$12, $Q$13, $R$13, $Q$14, $R$14, $Q$15, $R$15, $Q$16, $R$16, $Q$17, $R$17, $Q$18, $R$18,$Q$19,$R$19,$Q$20,$R$20,$Q$21,$R$21,$Q$22,$R$22,$Q$23,$R$23,$Q$24,$R$24), 0)</f>
        <v>0</v>
      </c>
      <c r="K26" s="125">
        <f t="shared" si="2"/>
        <v>0</v>
      </c>
      <c r="L26" s="126">
        <f t="shared" si="3"/>
        <v>0</v>
      </c>
      <c r="M26" s="41">
        <f t="shared" si="5"/>
        <v>0</v>
      </c>
      <c r="N26" s="127" cm="1">
        <f t="array" ref="N26">IFERROR(K26*(1+IFERROR(_xlfn.SWITCH(G26, $Q$10, $S$10, $Q$11, $S$11, $Q$12, $S$12, $Q$13, $S$13, $Q$14, $S$14, $Q$15, $S$15, $Q$16, $S$16, $Q$17, $S$17, $Q$18, $S$18,$Q$19,$S$19,$Q$20,$S$20,$Q$21,$S$21,$Q$22,$S$22,$Q$23,$S$23,$Q$24,$S$24), $S$10))*bp, 0)</f>
        <v>0</v>
      </c>
      <c r="O26" s="41">
        <f t="shared" si="4"/>
        <v>0</v>
      </c>
      <c r="Q26" s="2"/>
    </row>
    <row r="27" spans="2:26" x14ac:dyDescent="0.35">
      <c r="C27" s="6"/>
      <c r="D27" s="6"/>
      <c r="E27" s="8"/>
      <c r="F27" s="8"/>
      <c r="G27" s="8"/>
      <c r="H27" s="8"/>
      <c r="I27" s="7">
        <f>SUM(I6:I26)</f>
        <v>0</v>
      </c>
      <c r="J27" s="8"/>
      <c r="K27" s="8"/>
      <c r="L27" s="95">
        <f>SUM(L6:L26)</f>
        <v>0</v>
      </c>
      <c r="M27" s="7">
        <f>SUM(M6:M26)</f>
        <v>0</v>
      </c>
      <c r="N27" s="9"/>
      <c r="O27" s="7">
        <f>SUM(O6:O26)</f>
        <v>0</v>
      </c>
      <c r="Q27" s="10"/>
    </row>
    <row r="28" spans="2:26" ht="13.5" thickBot="1" x14ac:dyDescent="0.4">
      <c r="C28" s="6"/>
      <c r="D28" s="6"/>
      <c r="E28" s="11"/>
      <c r="F28" s="11"/>
      <c r="G28" s="11"/>
      <c r="H28" s="11"/>
      <c r="I28" s="12"/>
      <c r="J28" s="8"/>
      <c r="K28" s="8"/>
      <c r="L28" s="128" t="e">
        <f>L27/E6</f>
        <v>#DIV/0!</v>
      </c>
      <c r="M28" s="12"/>
      <c r="N28" s="9"/>
      <c r="O28" s="12"/>
    </row>
    <row r="29" spans="2:26" ht="15" customHeight="1" x14ac:dyDescent="0.35">
      <c r="B29" s="158" t="s">
        <v>25</v>
      </c>
      <c r="C29" s="159"/>
      <c r="D29" s="159"/>
      <c r="E29" s="159"/>
      <c r="F29" s="91"/>
      <c r="G29" s="91"/>
      <c r="H29" s="92" t="s">
        <v>2</v>
      </c>
      <c r="I29" s="88"/>
      <c r="J29" s="92" t="s">
        <v>3</v>
      </c>
      <c r="K29" s="90"/>
      <c r="L29" s="90"/>
      <c r="M29" s="88"/>
      <c r="N29" s="92" t="s">
        <v>4</v>
      </c>
      <c r="O29" s="88"/>
      <c r="R29" s="3"/>
    </row>
    <row r="30" spans="2:26" ht="13.5" thickBot="1" x14ac:dyDescent="0.4">
      <c r="B30" s="43" t="s">
        <v>6</v>
      </c>
      <c r="C30" s="44" t="s">
        <v>7</v>
      </c>
      <c r="D30" s="44" t="s">
        <v>52</v>
      </c>
      <c r="E30" s="44" t="s">
        <v>8</v>
      </c>
      <c r="F30" s="111" t="s">
        <v>61</v>
      </c>
      <c r="G30" s="45" t="s">
        <v>53</v>
      </c>
      <c r="H30" s="46" t="s">
        <v>9</v>
      </c>
      <c r="I30" s="47" t="s">
        <v>10</v>
      </c>
      <c r="J30" s="89" t="s">
        <v>11</v>
      </c>
      <c r="K30" s="93" t="s">
        <v>12</v>
      </c>
      <c r="L30" s="94">
        <f>$L$5</f>
        <v>5.8</v>
      </c>
      <c r="M30" s="45" t="s">
        <v>13</v>
      </c>
      <c r="N30" s="48" t="s">
        <v>14</v>
      </c>
      <c r="O30" s="45" t="s">
        <v>15</v>
      </c>
      <c r="R30" s="3"/>
    </row>
    <row r="31" spans="2:26" ht="14.5" customHeight="1" x14ac:dyDescent="0.35">
      <c r="B31" s="25">
        <v>1</v>
      </c>
      <c r="C31" s="26"/>
      <c r="D31" s="26"/>
      <c r="E31" s="27"/>
      <c r="F31" s="129"/>
      <c r="G31" s="28"/>
      <c r="H31" s="23"/>
      <c r="I31" s="117">
        <f t="shared" ref="I31:I43" si="10">H31*E31</f>
        <v>0</v>
      </c>
      <c r="J31" s="24" cm="1">
        <f t="array" ref="J31">IFERROR(_xlfn.SWITCH(G31, $Q$10, $R$10, $Q$11, $R$11, $Q$12, $R$12, $Q$13, $R$13, $Q$14, $R$14, $Q$15, $R$15, $Q$16, $R$16, $Q$17, $R$17, $Q$18, $R$18,$Q$19,$R$19,$Q$20,$R$20,$Q$21,$R$21,$Q$22,$R$22,$Q$23,$R$23,$Q$24,$R$24), 0)</f>
        <v>0</v>
      </c>
      <c r="K31" s="86">
        <f>IFERROR(H31*(1-J31),0)</f>
        <v>0</v>
      </c>
      <c r="L31" s="87">
        <f>IFERROR(K31*E31,0)/$L$5</f>
        <v>0</v>
      </c>
      <c r="M31" s="39">
        <f>IFERROR(K31*E31,0)</f>
        <v>0</v>
      </c>
      <c r="N31" s="49" cm="1">
        <f t="array" ref="N31">IFERROR(K31*(1+IFERROR(_xlfn.SWITCH(G31, $Q$10, $S$10, $Q$11, $S$11, $Q$12, $S$12, $Q$13, $S$13, $Q$14, $S$14, $Q$15, $S$15, $Q$16, $S$16, $Q$17, $S$17, $Q$18, $S$18,$Q$19,$S$19,$Q$20,$S$20,$Q$21,$S$21,$Q$22,$S$22,$Q$23,$S$23,$Q$24,$S$24), $S$10))*bp, 0)</f>
        <v>0</v>
      </c>
      <c r="O31" s="39">
        <f>IFERROR(N31*E31,0)</f>
        <v>0</v>
      </c>
      <c r="P31" s="2"/>
      <c r="R31" s="3"/>
    </row>
    <row r="32" spans="2:26" x14ac:dyDescent="0.35">
      <c r="B32" s="29">
        <v>2</v>
      </c>
      <c r="C32" s="33"/>
      <c r="D32" s="33"/>
      <c r="E32" s="34"/>
      <c r="F32" s="131"/>
      <c r="G32" s="114"/>
      <c r="H32" s="116"/>
      <c r="I32" s="117">
        <f t="shared" si="10"/>
        <v>0</v>
      </c>
      <c r="J32" s="118" cm="1">
        <f t="array" ref="J32">IFERROR(_xlfn.SWITCH(G32, $Q$10, $R$10, $Q$11, $R$11, $Q$12, $R$12, $Q$13, $R$13, $Q$14, $R$14, $Q$15, $R$15, $Q$16, $R$16, $Q$17, $R$17, $Q$18, $R$18,$Q$19,$R$19,$Q$20,$R$20,$Q$21,$R$21,$Q$22,$R$22,$Q$23,$R$23,$Q$24,$R$24), 0)</f>
        <v>0</v>
      </c>
      <c r="K32" s="119">
        <f>IFERROR(H32*(1-J32),0)</f>
        <v>0</v>
      </c>
      <c r="L32" s="120">
        <f>IFERROR(K32*E32,0)/$L$5</f>
        <v>0</v>
      </c>
      <c r="M32" s="40">
        <f>IFERROR(K32*E32,0)</f>
        <v>0</v>
      </c>
      <c r="N32" s="121" cm="1">
        <f t="array" ref="N32">IFERROR(K32*(1+IFERROR(_xlfn.SWITCH(G32, $Q$10, $S$10, $Q$11, $S$11, $Q$12, $S$12, $Q$13, $S$13, $Q$14, $S$14, $Q$15, $S$15, $Q$16, $S$16, $Q$17, $S$17, $Q$18, $S$18,$Q$19,$S$19,$Q$20,$S$20,$Q$21,$S$21,$Q$22,$S$22,$Q$23,$S$23,$Q$24,$S$24), $S$10))*bp, 0)</f>
        <v>0</v>
      </c>
      <c r="O32" s="40">
        <f>IFERROR(N32*E32,0)</f>
        <v>0</v>
      </c>
      <c r="R32" s="4"/>
    </row>
    <row r="33" spans="2:18" x14ac:dyDescent="0.35">
      <c r="B33" s="29">
        <v>3</v>
      </c>
      <c r="C33" s="33"/>
      <c r="D33" s="33"/>
      <c r="E33" s="34"/>
      <c r="F33" s="131"/>
      <c r="G33" s="114"/>
      <c r="H33" s="116"/>
      <c r="I33" s="117">
        <f t="shared" si="10"/>
        <v>0</v>
      </c>
      <c r="J33" s="118" cm="1">
        <f t="array" ref="J33">IFERROR(_xlfn.SWITCH(G33, $Q$10, $R$10, $Q$11, $R$11, $Q$12, $R$12, $Q$13, $R$13, $Q$14, $R$14, $Q$15, $R$15, $Q$16, $R$16, $Q$17, $R$17, $Q$18, $R$18,$Q$19,$R$19,$Q$20,$R$20,$Q$21,$R$21,$Q$22,$R$22,$Q$23,$R$23,$Q$24,$R$24), 0)</f>
        <v>0</v>
      </c>
      <c r="K33" s="119">
        <f>IFERROR(H33*(1-J33),0)</f>
        <v>0</v>
      </c>
      <c r="L33" s="120">
        <f>IFERROR(K33*E33,0)/$L$5</f>
        <v>0</v>
      </c>
      <c r="M33" s="40">
        <f>IFERROR(K33*E33,0)</f>
        <v>0</v>
      </c>
      <c r="N33" s="121" cm="1">
        <f t="array" ref="N33">IFERROR(K33*(1+IFERROR(_xlfn.SWITCH(G33, $Q$10, $S$10, $Q$11, $S$11, $Q$12, $S$12, $Q$13, $S$13, $Q$14, $S$14, $Q$15, $S$15, $Q$16, $S$16, $Q$17, $S$17, $Q$18, $S$18,$Q$19,$S$19,$Q$20,$S$20,$Q$21,$S$21,$Q$22,$S$22,$Q$23,$S$23,$Q$24,$S$24), $S$10))*bp, 0)</f>
        <v>0</v>
      </c>
      <c r="O33" s="40">
        <f>IFERROR(N33*E33,0)</f>
        <v>0</v>
      </c>
      <c r="R33" s="4"/>
    </row>
    <row r="34" spans="2:18" x14ac:dyDescent="0.35">
      <c r="B34" s="29">
        <v>4</v>
      </c>
      <c r="C34" s="33"/>
      <c r="D34" s="33"/>
      <c r="E34" s="34"/>
      <c r="F34" s="131"/>
      <c r="G34" s="114"/>
      <c r="H34" s="116"/>
      <c r="I34" s="117">
        <f t="shared" si="10"/>
        <v>0</v>
      </c>
      <c r="J34" s="118" cm="1">
        <f t="array" ref="J34">IFERROR(_xlfn.SWITCH(G34, $Q$10, $R$10, $Q$11, $R$11, $Q$12, $R$12, $Q$13, $R$13, $Q$14, $R$14, $Q$15, $R$15, $Q$16, $R$16, $Q$17, $R$17, $Q$18, $R$18,$Q$19,$R$19,$Q$20,$R$20,$Q$21,$R$21,$Q$22,$R$22,$Q$23,$R$23,$Q$24,$R$24), 0)</f>
        <v>0</v>
      </c>
      <c r="K34" s="119">
        <f t="shared" ref="K34:K43" si="11">IFERROR(H34*(1-J34),0)</f>
        <v>0</v>
      </c>
      <c r="L34" s="120">
        <f t="shared" ref="L34:L43" si="12">IFERROR(K34*E34,0)/$L$5</f>
        <v>0</v>
      </c>
      <c r="M34" s="40">
        <f t="shared" ref="M34:M43" si="13">IFERROR(K34*E34,0)</f>
        <v>0</v>
      </c>
      <c r="N34" s="121" cm="1">
        <f t="array" ref="N34">IFERROR(K34*(1+IFERROR(_xlfn.SWITCH(G34, $Q$10, $S$10, $Q$11, $S$11, $Q$12, $S$12, $Q$13, $S$13, $Q$14, $S$14, $Q$15, $S$15, $Q$16, $S$16, $Q$17, $S$17, $Q$18, $S$18,$Q$19,$S$19,$Q$20,$S$20,$Q$21,$S$21,$Q$22,$S$22,$Q$23,$S$23,$Q$24,$S$24), $S$10))*bp, 0)</f>
        <v>0</v>
      </c>
      <c r="O34" s="40">
        <f t="shared" ref="O34:O43" si="14">IFERROR(N34*E34,0)</f>
        <v>0</v>
      </c>
      <c r="R34" s="4"/>
    </row>
    <row r="35" spans="2:18" x14ac:dyDescent="0.35">
      <c r="B35" s="29">
        <v>5</v>
      </c>
      <c r="C35" s="33"/>
      <c r="D35" s="33"/>
      <c r="E35" s="34"/>
      <c r="F35" s="131"/>
      <c r="G35" s="114"/>
      <c r="H35" s="116"/>
      <c r="I35" s="117">
        <f t="shared" si="10"/>
        <v>0</v>
      </c>
      <c r="J35" s="118" cm="1">
        <f t="array" ref="J35">IFERROR(_xlfn.SWITCH(G35, $Q$10, $R$10, $Q$11, $R$11, $Q$12, $R$12, $Q$13, $R$13, $Q$14, $R$14, $Q$15, $R$15, $Q$16, $R$16, $Q$17, $R$17, $Q$18, $R$18,$Q$19,$R$19,$Q$20,$R$20,$Q$21,$R$21,$Q$22,$R$22,$Q$23,$R$23,$Q$24,$R$24), 0)</f>
        <v>0</v>
      </c>
      <c r="K35" s="119">
        <f t="shared" si="11"/>
        <v>0</v>
      </c>
      <c r="L35" s="120">
        <f t="shared" si="12"/>
        <v>0</v>
      </c>
      <c r="M35" s="40">
        <f t="shared" si="13"/>
        <v>0</v>
      </c>
      <c r="N35" s="121" cm="1">
        <f t="array" ref="N35">IFERROR(K35*(1+IFERROR(_xlfn.SWITCH(G35, $Q$10, $S$10, $Q$11, $S$11, $Q$12, $S$12, $Q$13, $S$13, $Q$14, $S$14, $Q$15, $S$15, $Q$16, $S$16, $Q$17, $S$17, $Q$18, $S$18,$Q$19,$S$19,$Q$20,$S$20,$Q$21,$S$21,$Q$22,$S$22,$Q$23,$S$23,$Q$24,$S$24), $S$10))*bp, 0)</f>
        <v>0</v>
      </c>
      <c r="O35" s="40">
        <f t="shared" si="14"/>
        <v>0</v>
      </c>
      <c r="R35" s="4"/>
    </row>
    <row r="36" spans="2:18" x14ac:dyDescent="0.35">
      <c r="B36" s="29">
        <v>6</v>
      </c>
      <c r="C36" s="33"/>
      <c r="D36" s="33"/>
      <c r="E36" s="34"/>
      <c r="F36" s="131"/>
      <c r="G36" s="114"/>
      <c r="H36" s="116"/>
      <c r="I36" s="117">
        <f t="shared" si="10"/>
        <v>0</v>
      </c>
      <c r="J36" s="118" cm="1">
        <f t="array" ref="J36">IFERROR(_xlfn.SWITCH(G36, $Q$10, $R$10, $Q$11, $R$11, $Q$12, $R$12, $Q$13, $R$13, $Q$14, $R$14, $Q$15, $R$15, $Q$16, $R$16, $Q$17, $R$17, $Q$18, $R$18,$Q$19,$R$19,$Q$20,$R$20,$Q$21,$R$21,$Q$22,$R$22,$Q$23,$R$23,$Q$24,$R$24), 0)</f>
        <v>0</v>
      </c>
      <c r="K36" s="119">
        <f t="shared" si="11"/>
        <v>0</v>
      </c>
      <c r="L36" s="120">
        <f t="shared" si="12"/>
        <v>0</v>
      </c>
      <c r="M36" s="40">
        <f t="shared" si="13"/>
        <v>0</v>
      </c>
      <c r="N36" s="121" cm="1">
        <f t="array" ref="N36">IFERROR(K36*(1+IFERROR(_xlfn.SWITCH(G36, $Q$10, $S$10, $Q$11, $S$11, $Q$12, $S$12, $Q$13, $S$13, $Q$14, $S$14, $Q$15, $S$15, $Q$16, $S$16, $Q$17, $S$17, $Q$18, $S$18,$Q$19,$S$19,$Q$20,$S$20,$Q$21,$S$21,$Q$22,$S$22,$Q$23,$S$23,$Q$24,$S$24), $S$10))*bp, 0)</f>
        <v>0</v>
      </c>
      <c r="O36" s="40">
        <f t="shared" si="14"/>
        <v>0</v>
      </c>
      <c r="R36" s="4"/>
    </row>
    <row r="37" spans="2:18" x14ac:dyDescent="0.35">
      <c r="B37" s="29">
        <v>7</v>
      </c>
      <c r="C37" s="33"/>
      <c r="D37" s="33"/>
      <c r="E37" s="34"/>
      <c r="F37" s="131"/>
      <c r="G37" s="114"/>
      <c r="H37" s="116"/>
      <c r="I37" s="117">
        <f t="shared" si="10"/>
        <v>0</v>
      </c>
      <c r="J37" s="118" cm="1">
        <f t="array" ref="J37">IFERROR(_xlfn.SWITCH(G37, $Q$10, $R$10, $Q$11, $R$11, $Q$12, $R$12, $Q$13, $R$13, $Q$14, $R$14, $Q$15, $R$15, $Q$16, $R$16, $Q$17, $R$17, $Q$18, $R$18,$Q$19,$R$19,$Q$20,$R$20,$Q$21,$R$21,$Q$22,$R$22,$Q$23,$R$23,$Q$24,$R$24), 0)</f>
        <v>0</v>
      </c>
      <c r="K37" s="119">
        <f t="shared" si="11"/>
        <v>0</v>
      </c>
      <c r="L37" s="120">
        <f t="shared" si="12"/>
        <v>0</v>
      </c>
      <c r="M37" s="40">
        <f t="shared" si="13"/>
        <v>0</v>
      </c>
      <c r="N37" s="121" cm="1">
        <f t="array" ref="N37">IFERROR(K37*(1+IFERROR(_xlfn.SWITCH(G37, $Q$10, $S$10, $Q$11, $S$11, $Q$12, $S$12, $Q$13, $S$13, $Q$14, $S$14, $Q$15, $S$15, $Q$16, $S$16, $Q$17, $S$17, $Q$18, $S$18,$Q$19,$S$19,$Q$20,$S$20,$Q$21,$S$21,$Q$22,$S$22,$Q$23,$S$23,$Q$24,$S$24), $S$10))*bp, 0)</f>
        <v>0</v>
      </c>
      <c r="O37" s="40">
        <f t="shared" si="14"/>
        <v>0</v>
      </c>
      <c r="R37" s="4"/>
    </row>
    <row r="38" spans="2:18" x14ac:dyDescent="0.35">
      <c r="B38" s="29">
        <v>8</v>
      </c>
      <c r="C38" s="33"/>
      <c r="D38" s="33"/>
      <c r="E38" s="34"/>
      <c r="F38" s="131"/>
      <c r="G38" s="114"/>
      <c r="H38" s="116"/>
      <c r="I38" s="117">
        <f t="shared" si="10"/>
        <v>0</v>
      </c>
      <c r="J38" s="118" cm="1">
        <f t="array" ref="J38">IFERROR(_xlfn.SWITCH(G38, $Q$10, $R$10, $Q$11, $R$11, $Q$12, $R$12, $Q$13, $R$13, $Q$14, $R$14, $Q$15, $R$15, $Q$16, $R$16, $Q$17, $R$17, $Q$18, $R$18,$Q$19,$R$19,$Q$20,$R$20,$Q$21,$R$21,$Q$22,$R$22,$Q$23,$R$23,$Q$24,$R$24), 0)</f>
        <v>0</v>
      </c>
      <c r="K38" s="119">
        <f t="shared" si="11"/>
        <v>0</v>
      </c>
      <c r="L38" s="120">
        <f t="shared" si="12"/>
        <v>0</v>
      </c>
      <c r="M38" s="40">
        <f t="shared" si="13"/>
        <v>0</v>
      </c>
      <c r="N38" s="121" cm="1">
        <f t="array" ref="N38">IFERROR(K38*(1+IFERROR(_xlfn.SWITCH(G38, $Q$10, $S$10, $Q$11, $S$11, $Q$12, $S$12, $Q$13, $S$13, $Q$14, $S$14, $Q$15, $S$15, $Q$16, $S$16, $Q$17, $S$17, $Q$18, $S$18,$Q$19,$S$19,$Q$20,$S$20,$Q$21,$S$21,$Q$22,$S$22,$Q$23,$S$23,$Q$24,$S$24), $S$10))*bp, 0)</f>
        <v>0</v>
      </c>
      <c r="O38" s="40">
        <f t="shared" si="14"/>
        <v>0</v>
      </c>
      <c r="R38" s="4"/>
    </row>
    <row r="39" spans="2:18" x14ac:dyDescent="0.35">
      <c r="B39" s="29">
        <v>9</v>
      </c>
      <c r="C39" s="33"/>
      <c r="D39" s="33"/>
      <c r="E39" s="34"/>
      <c r="F39" s="131"/>
      <c r="G39" s="114"/>
      <c r="H39" s="116"/>
      <c r="I39" s="117">
        <f t="shared" si="10"/>
        <v>0</v>
      </c>
      <c r="J39" s="118" cm="1">
        <f t="array" ref="J39">IFERROR(_xlfn.SWITCH(G39, $Q$10, $R$10, $Q$11, $R$11, $Q$12, $R$12, $Q$13, $R$13, $Q$14, $R$14, $Q$15, $R$15, $Q$16, $R$16, $Q$17, $R$17, $Q$18, $R$18,$Q$19,$R$19,$Q$20,$R$20,$Q$21,$R$21,$Q$22,$R$22,$Q$23,$R$23,$Q$24,$R$24), 0)</f>
        <v>0</v>
      </c>
      <c r="K39" s="119">
        <f t="shared" si="11"/>
        <v>0</v>
      </c>
      <c r="L39" s="120">
        <f t="shared" si="12"/>
        <v>0</v>
      </c>
      <c r="M39" s="40">
        <f t="shared" si="13"/>
        <v>0</v>
      </c>
      <c r="N39" s="121" cm="1">
        <f t="array" ref="N39">IFERROR(K39*(1+IFERROR(_xlfn.SWITCH(G39, $Q$10, $S$10, $Q$11, $S$11, $Q$12, $S$12, $Q$13, $S$13, $Q$14, $S$14, $Q$15, $S$15, $Q$16, $S$16, $Q$17, $S$17, $Q$18, $S$18,$Q$19,$S$19,$Q$20,$S$20,$Q$21,$S$21,$Q$22,$S$22,$Q$23,$S$23,$Q$24,$S$24), $S$10))*bp, 0)</f>
        <v>0</v>
      </c>
      <c r="O39" s="40">
        <f t="shared" si="14"/>
        <v>0</v>
      </c>
      <c r="R39" s="4"/>
    </row>
    <row r="40" spans="2:18" x14ac:dyDescent="0.35">
      <c r="B40" s="29">
        <v>10</v>
      </c>
      <c r="C40" s="33"/>
      <c r="D40" s="33"/>
      <c r="E40" s="34"/>
      <c r="F40" s="131"/>
      <c r="G40" s="114"/>
      <c r="H40" s="116"/>
      <c r="I40" s="117">
        <f t="shared" si="10"/>
        <v>0</v>
      </c>
      <c r="J40" s="118" cm="1">
        <f t="array" ref="J40">IFERROR(_xlfn.SWITCH(G40, $Q$10, $R$10, $Q$11, $R$11, $Q$12, $R$12, $Q$13, $R$13, $Q$14, $R$14, $Q$15, $R$15, $Q$16, $R$16, $Q$17, $R$17, $Q$18, $R$18,$Q$19,$R$19,$Q$20,$R$20,$Q$21,$R$21,$Q$22,$R$22,$Q$23,$R$23,$Q$24,$R$24), 0)</f>
        <v>0</v>
      </c>
      <c r="K40" s="119">
        <f t="shared" si="11"/>
        <v>0</v>
      </c>
      <c r="L40" s="120">
        <f t="shared" si="12"/>
        <v>0</v>
      </c>
      <c r="M40" s="40">
        <f t="shared" si="13"/>
        <v>0</v>
      </c>
      <c r="N40" s="121" cm="1">
        <f t="array" ref="N40">IFERROR(K40*(1+IFERROR(_xlfn.SWITCH(G40, $Q$10, $S$10, $Q$11, $S$11, $Q$12, $S$12, $Q$13, $S$13, $Q$14, $S$14, $Q$15, $S$15, $Q$16, $S$16, $Q$17, $S$17, $Q$18, $S$18,$Q$19,$S$19,$Q$20,$S$20,$Q$21,$S$21,$Q$22,$S$22,$Q$23,$S$23,$Q$24,$S$24), $S$10))*bp, 0)</f>
        <v>0</v>
      </c>
      <c r="O40" s="40">
        <f t="shared" si="14"/>
        <v>0</v>
      </c>
      <c r="R40" s="4"/>
    </row>
    <row r="41" spans="2:18" x14ac:dyDescent="0.35">
      <c r="B41" s="29">
        <v>11</v>
      </c>
      <c r="C41" s="33"/>
      <c r="D41" s="33"/>
      <c r="E41" s="34"/>
      <c r="F41" s="131"/>
      <c r="G41" s="114"/>
      <c r="H41" s="116"/>
      <c r="I41" s="117">
        <f t="shared" si="10"/>
        <v>0</v>
      </c>
      <c r="J41" s="118" cm="1">
        <f t="array" ref="J41">IFERROR(_xlfn.SWITCH(G41, $Q$10, $R$10, $Q$11, $R$11, $Q$12, $R$12, $Q$13, $R$13, $Q$14, $R$14, $Q$15, $R$15, $Q$16, $R$16, $Q$17, $R$17, $Q$18, $R$18,$Q$19,$R$19,$Q$20,$R$20,$Q$21,$R$21,$Q$22,$R$22,$Q$23,$R$23,$Q$24,$R$24), 0)</f>
        <v>0</v>
      </c>
      <c r="K41" s="119">
        <f t="shared" si="11"/>
        <v>0</v>
      </c>
      <c r="L41" s="120">
        <f t="shared" si="12"/>
        <v>0</v>
      </c>
      <c r="M41" s="40">
        <f t="shared" si="13"/>
        <v>0</v>
      </c>
      <c r="N41" s="121" cm="1">
        <f t="array" ref="N41">IFERROR(K41*(1+IFERROR(_xlfn.SWITCH(G41, $Q$10, $S$10, $Q$11, $S$11, $Q$12, $S$12, $Q$13, $S$13, $Q$14, $S$14, $Q$15, $S$15, $Q$16, $S$16, $Q$17, $S$17, $Q$18, $S$18,$Q$19,$S$19,$Q$20,$S$20,$Q$21,$S$21,$Q$22,$S$22,$Q$23,$S$23,$Q$24,$S$24), $S$10))*bp, 0)</f>
        <v>0</v>
      </c>
      <c r="O41" s="40">
        <f t="shared" si="14"/>
        <v>0</v>
      </c>
      <c r="R41" s="4"/>
    </row>
    <row r="42" spans="2:18" x14ac:dyDescent="0.35">
      <c r="B42" s="29">
        <v>12</v>
      </c>
      <c r="C42" s="33"/>
      <c r="D42" s="33"/>
      <c r="E42" s="34"/>
      <c r="F42" s="131"/>
      <c r="G42" s="114"/>
      <c r="H42" s="116"/>
      <c r="I42" s="117">
        <f t="shared" si="10"/>
        <v>0</v>
      </c>
      <c r="J42" s="118" cm="1">
        <f t="array" ref="J42">IFERROR(_xlfn.SWITCH(G42, $Q$10, $R$10, $Q$11, $R$11, $Q$12, $R$12, $Q$13, $R$13, $Q$14, $R$14, $Q$15, $R$15, $Q$16, $R$16, $Q$17, $R$17, $Q$18, $R$18,$Q$19,$R$19,$Q$20,$R$20,$Q$21,$R$21,$Q$22,$R$22,$Q$23,$R$23,$Q$24,$R$24), 0)</f>
        <v>0</v>
      </c>
      <c r="K42" s="119">
        <f t="shared" si="11"/>
        <v>0</v>
      </c>
      <c r="L42" s="120">
        <f t="shared" si="12"/>
        <v>0</v>
      </c>
      <c r="M42" s="40">
        <f t="shared" si="13"/>
        <v>0</v>
      </c>
      <c r="N42" s="121" cm="1">
        <f t="array" ref="N42">IFERROR(K42*(1+IFERROR(_xlfn.SWITCH(G42, $Q$10, $S$10, $Q$11, $S$11, $Q$12, $S$12, $Q$13, $S$13, $Q$14, $S$14, $Q$15, $S$15, $Q$16, $S$16, $Q$17, $S$17, $Q$18, $S$18,$Q$19,$S$19,$Q$20,$S$20,$Q$21,$S$21,$Q$22,$S$22,$Q$23,$S$23,$Q$24,$S$24), $S$10))*bp, 0)</f>
        <v>0</v>
      </c>
      <c r="O42" s="40">
        <f t="shared" si="14"/>
        <v>0</v>
      </c>
      <c r="R42" s="4"/>
    </row>
    <row r="43" spans="2:18" x14ac:dyDescent="0.35">
      <c r="B43" s="29">
        <v>13</v>
      </c>
      <c r="C43" s="33"/>
      <c r="D43" s="33"/>
      <c r="E43" s="34"/>
      <c r="F43" s="131"/>
      <c r="G43" s="114"/>
      <c r="H43" s="116"/>
      <c r="I43" s="117">
        <f t="shared" si="10"/>
        <v>0</v>
      </c>
      <c r="J43" s="118" cm="1">
        <f t="array" ref="J43">IFERROR(_xlfn.SWITCH(G43, $Q$10, $R$10, $Q$11, $R$11, $Q$12, $R$12, $Q$13, $R$13, $Q$14, $R$14, $Q$15, $R$15, $Q$16, $R$16, $Q$17, $R$17, $Q$18, $R$18,$Q$19,$R$19,$Q$20,$R$20,$Q$21,$R$21,$Q$22,$R$22,$Q$23,$R$23,$Q$24,$R$24), 0)</f>
        <v>0</v>
      </c>
      <c r="K43" s="119">
        <f t="shared" si="11"/>
        <v>0</v>
      </c>
      <c r="L43" s="120">
        <f t="shared" si="12"/>
        <v>0</v>
      </c>
      <c r="M43" s="40">
        <f t="shared" si="13"/>
        <v>0</v>
      </c>
      <c r="N43" s="121" cm="1">
        <f t="array" ref="N43">IFERROR(K43*(1+IFERROR(_xlfn.SWITCH(G43, $Q$10, $S$10, $Q$11, $S$11, $Q$12, $S$12, $Q$13, $S$13, $Q$14, $S$14, $Q$15, $S$15, $Q$16, $S$16, $Q$17, $S$17, $Q$18, $S$18,$Q$19,$S$19,$Q$20,$S$20,$Q$21,$S$21,$Q$22,$S$22,$Q$23,$S$23,$Q$24,$S$24), $S$10))*bp, 0)</f>
        <v>0</v>
      </c>
      <c r="O43" s="40">
        <f t="shared" si="14"/>
        <v>0</v>
      </c>
      <c r="R43" s="4"/>
    </row>
    <row r="44" spans="2:18" ht="13.5" thickBot="1" x14ac:dyDescent="0.4">
      <c r="B44" s="35">
        <v>14</v>
      </c>
      <c r="C44" s="36"/>
      <c r="D44" s="36"/>
      <c r="E44" s="37"/>
      <c r="F44" s="132"/>
      <c r="G44" s="115"/>
      <c r="H44" s="122"/>
      <c r="I44" s="123">
        <f>H44*E44</f>
        <v>0</v>
      </c>
      <c r="J44" s="124" cm="1">
        <f t="array" ref="J44">IFERROR(_xlfn.SWITCH(G44, $Q$10, $R$10, $Q$11, $R$11, $Q$12, $R$12, $Q$13, $R$13, $Q$14, $R$14, $Q$15, $R$15, $Q$16, $R$16, $Q$17, $R$17, $Q$18, $R$18,$Q$19,$R$19,$Q$20,$R$20,$Q$21,$R$21,$Q$22,$R$22,$Q$23,$R$23,$Q$24,$R$24), 0)</f>
        <v>0</v>
      </c>
      <c r="K44" s="125">
        <f t="shared" ref="K44" si="15">IFERROR(H44*(1-J44),0)</f>
        <v>0</v>
      </c>
      <c r="L44" s="126">
        <f t="shared" ref="L44" si="16">IFERROR(K44*E44,0)/$L$5</f>
        <v>0</v>
      </c>
      <c r="M44" s="41">
        <f>IFERROR(K44*E44,0)</f>
        <v>0</v>
      </c>
      <c r="N44" s="127" cm="1">
        <f t="array" ref="N44">IFERROR(K44*(1+IFERROR(_xlfn.SWITCH(G44, $Q$10, $S$10, $Q$11, $S$11, $Q$12, $S$12, $Q$13, $S$13, $Q$14, $S$14, $Q$15, $S$15, $Q$16, $S$16, $Q$17, $S$17, $Q$18, $S$18,$Q$19,$S$19,$Q$20,$S$20,$Q$21,$S$21,$Q$22,$S$22,$Q$23,$S$23,$Q$24,$S$24), $S$10))*bp, 0)</f>
        <v>0</v>
      </c>
      <c r="O44" s="41">
        <f>IFERROR(N44*E44,0)</f>
        <v>0</v>
      </c>
      <c r="Q44" s="2"/>
    </row>
    <row r="45" spans="2:18" x14ac:dyDescent="0.35">
      <c r="C45" s="6"/>
      <c r="D45" s="6"/>
      <c r="E45" s="8"/>
      <c r="F45" s="8"/>
      <c r="G45" s="8"/>
      <c r="H45" s="8"/>
      <c r="I45" s="7">
        <f>SUM(I31:I44)</f>
        <v>0</v>
      </c>
      <c r="J45" s="8"/>
      <c r="K45" s="42"/>
      <c r="L45" s="95">
        <f>SUM(L31:L44)</f>
        <v>0</v>
      </c>
      <c r="M45" s="7">
        <f>SUM(M31:M44)</f>
        <v>0</v>
      </c>
      <c r="N45" s="9"/>
      <c r="O45" s="7">
        <f>SUM(O31:O44)</f>
        <v>0</v>
      </c>
      <c r="Q45" s="10"/>
    </row>
    <row r="46" spans="2:18" ht="13.5" thickBot="1" x14ac:dyDescent="0.4">
      <c r="C46" s="6"/>
      <c r="D46" s="6"/>
      <c r="E46" s="11"/>
      <c r="F46" s="11"/>
      <c r="G46" s="11"/>
      <c r="H46" s="11"/>
      <c r="I46" s="12"/>
      <c r="J46" s="11"/>
      <c r="K46" s="11"/>
      <c r="L46" s="11"/>
      <c r="M46" s="12"/>
      <c r="N46" s="9"/>
    </row>
    <row r="47" spans="2:18" ht="15" customHeight="1" x14ac:dyDescent="0.35">
      <c r="B47" s="158" t="s">
        <v>26</v>
      </c>
      <c r="C47" s="159"/>
      <c r="D47" s="159"/>
      <c r="E47" s="159"/>
      <c r="F47" s="91"/>
      <c r="G47" s="91"/>
      <c r="H47" s="92" t="s">
        <v>2</v>
      </c>
      <c r="I47" s="88"/>
      <c r="J47" s="92" t="s">
        <v>3</v>
      </c>
      <c r="K47" s="90"/>
      <c r="L47" s="90"/>
      <c r="M47" s="88"/>
      <c r="N47" s="92" t="s">
        <v>4</v>
      </c>
      <c r="O47" s="88"/>
      <c r="R47" s="3"/>
    </row>
    <row r="48" spans="2:18" ht="13.5" thickBot="1" x14ac:dyDescent="0.4">
      <c r="B48" s="43" t="s">
        <v>6</v>
      </c>
      <c r="C48" s="44" t="s">
        <v>7</v>
      </c>
      <c r="D48" s="44"/>
      <c r="E48" s="44" t="s">
        <v>8</v>
      </c>
      <c r="F48" s="111" t="s">
        <v>61</v>
      </c>
      <c r="G48" s="45" t="s">
        <v>53</v>
      </c>
      <c r="H48" s="46" t="s">
        <v>9</v>
      </c>
      <c r="I48" s="47" t="s">
        <v>10</v>
      </c>
      <c r="J48" s="89" t="s">
        <v>11</v>
      </c>
      <c r="K48" s="93" t="s">
        <v>27</v>
      </c>
      <c r="L48" s="94">
        <f>$L$5</f>
        <v>5.8</v>
      </c>
      <c r="M48" s="45" t="s">
        <v>13</v>
      </c>
      <c r="N48" s="48" t="s">
        <v>14</v>
      </c>
      <c r="O48" s="45" t="s">
        <v>15</v>
      </c>
      <c r="R48" s="3"/>
    </row>
    <row r="49" spans="2:18" ht="14.5" customHeight="1" x14ac:dyDescent="0.35">
      <c r="B49" s="25">
        <v>1</v>
      </c>
      <c r="C49" s="26" t="s">
        <v>88</v>
      </c>
      <c r="D49" s="26" t="s">
        <v>91</v>
      </c>
      <c r="E49" s="27"/>
      <c r="F49" s="129" t="s">
        <v>59</v>
      </c>
      <c r="G49" s="28" t="s">
        <v>76</v>
      </c>
      <c r="H49" s="23">
        <v>1.46</v>
      </c>
      <c r="I49" s="38">
        <f t="shared" ref="I49:I57" si="17">H49*E49</f>
        <v>0</v>
      </c>
      <c r="J49" s="24" cm="1">
        <f t="array" ref="J49">IFERROR(_xlfn.SWITCH(G49, $Q$10, $R$10, $Q$11, $R$11, $Q$12, $R$12, $Q$13, $R$13, $Q$14, $R$14, $Q$15, $R$15, $Q$16, $R$16, $Q$17, $R$17, $Q$18, $R$18,$Q$19,$R$19,$Q$20,$R$20,$Q$21,$R$21,$Q$22,$R$22,$Q$23,$R$23,$Q$24,$R$24), 0)</f>
        <v>0</v>
      </c>
      <c r="K49" s="86">
        <f>IFERROR(H49*(1-J49),0)</f>
        <v>1.46</v>
      </c>
      <c r="L49" s="87">
        <f>IFERROR(K49*E49,0)/$L$5</f>
        <v>0</v>
      </c>
      <c r="M49" s="39">
        <f>IFERROR(K49*E49,0)</f>
        <v>0</v>
      </c>
      <c r="N49" s="49" cm="1">
        <f t="array" ref="N49">IFERROR(K49*(1+IFERROR(_xlfn.SWITCH(G49, $Q$10, $S$10, $Q$11, $S$11, $Q$12, $S$12, $Q$13, $S$13, $Q$14, $S$14, $Q$15, $S$15, $Q$16, $S$16, $Q$17, $S$17, $Q$18, $S$18,$Q$19,$S$19,$Q$20,$S$20,$Q$21,$S$21,$Q$22,$S$22,$Q$23,$S$23,$Q$24,$S$24), $S$10))*bp, 0)</f>
        <v>1.661918</v>
      </c>
      <c r="O49" s="39">
        <f>IFERROR(N49*E49,0)</f>
        <v>0</v>
      </c>
      <c r="P49" s="2"/>
      <c r="R49" s="3"/>
    </row>
    <row r="50" spans="2:18" x14ac:dyDescent="0.35">
      <c r="B50" s="29">
        <v>2</v>
      </c>
      <c r="C50" s="33" t="s">
        <v>89</v>
      </c>
      <c r="D50" s="33" t="s">
        <v>92</v>
      </c>
      <c r="E50" s="34"/>
      <c r="F50" s="131" t="s">
        <v>59</v>
      </c>
      <c r="G50" s="114" t="s">
        <v>76</v>
      </c>
      <c r="H50" s="116">
        <v>0.24</v>
      </c>
      <c r="I50" s="117">
        <f t="shared" si="17"/>
        <v>0</v>
      </c>
      <c r="J50" s="118" cm="1">
        <f t="array" ref="J50">IFERROR(_xlfn.SWITCH(G50, $Q$10, $R$10, $Q$11, $R$11, $Q$12, $R$12, $Q$13, $R$13, $Q$14, $R$14, $Q$15, $R$15, $Q$16, $R$16, $Q$17, $R$17, $Q$18, $R$18,$Q$19,$R$19,$Q$20,$R$20,$Q$21,$R$21,$Q$22,$R$22,$Q$23,$R$23,$Q$24,$R$24), 0)</f>
        <v>0</v>
      </c>
      <c r="K50" s="119">
        <f t="shared" ref="K50:K58" si="18">IFERROR(H50*(1-J50),0)</f>
        <v>0.24</v>
      </c>
      <c r="L50" s="120">
        <f t="shared" ref="L50:L52" si="19">IFERROR(K50*E50,0)/$L$5</f>
        <v>0</v>
      </c>
      <c r="M50" s="40">
        <f t="shared" ref="M50:M57" si="20">IFERROR(K50*E50,0)</f>
        <v>0</v>
      </c>
      <c r="N50" s="121" cm="1">
        <f t="array" ref="N50">IFERROR(K50*(1+IFERROR(_xlfn.SWITCH(G50, $Q$10, $S$10, $Q$11, $S$11, $Q$12, $S$12, $Q$13, $S$13, $Q$14, $S$14, $Q$15, $S$15, $Q$16, $S$16, $Q$17, $S$17, $Q$18, $S$18,$Q$19,$S$19,$Q$20,$S$20,$Q$21,$S$21,$Q$22,$S$22,$Q$23,$S$23,$Q$24,$S$24), $S$10))*bp, 0)</f>
        <v>0.27319199999999999</v>
      </c>
      <c r="O50" s="40">
        <f t="shared" ref="O50:O57" si="21">IFERROR(N50*E50,0)</f>
        <v>0</v>
      </c>
      <c r="R50" s="4"/>
    </row>
    <row r="51" spans="2:18" x14ac:dyDescent="0.35">
      <c r="B51" s="29">
        <v>3</v>
      </c>
      <c r="C51" s="33" t="s">
        <v>90</v>
      </c>
      <c r="D51" s="33" t="s">
        <v>93</v>
      </c>
      <c r="E51" s="34"/>
      <c r="F51" s="131" t="s">
        <v>59</v>
      </c>
      <c r="G51" s="114" t="s">
        <v>76</v>
      </c>
      <c r="H51" s="116">
        <v>3.45</v>
      </c>
      <c r="I51" s="117">
        <f t="shared" si="17"/>
        <v>0</v>
      </c>
      <c r="J51" s="118" cm="1">
        <f t="array" ref="J51">IFERROR(_xlfn.SWITCH(G51, $Q$10, $R$10, $Q$11, $R$11, $Q$12, $R$12, $Q$13, $R$13, $Q$14, $R$14, $Q$15, $R$15, $Q$16, $R$16, $Q$17, $R$17, $Q$18, $R$18,$Q$19,$R$19,$Q$20,$R$20,$Q$21,$R$21,$Q$22,$R$22,$Q$23,$R$23,$Q$24,$R$24), 0)</f>
        <v>0</v>
      </c>
      <c r="K51" s="119">
        <f t="shared" si="18"/>
        <v>3.45</v>
      </c>
      <c r="L51" s="120">
        <f t="shared" si="19"/>
        <v>0</v>
      </c>
      <c r="M51" s="40">
        <f t="shared" si="20"/>
        <v>0</v>
      </c>
      <c r="N51" s="121" cm="1">
        <f t="array" ref="N51">IFERROR(K51*(1+IFERROR(_xlfn.SWITCH(G51, $Q$10, $S$10, $Q$11, $S$11, $Q$12, $S$12, $Q$13, $S$13, $Q$14, $S$14, $Q$15, $S$15, $Q$16, $S$16, $Q$17, $S$17, $Q$18, $S$18,$Q$19,$S$19,$Q$20,$S$20,$Q$21,$S$21,$Q$22,$S$22,$Q$23,$S$23,$Q$24,$S$24), $S$10))*bp, 0)</f>
        <v>3.9271350000000007</v>
      </c>
      <c r="O51" s="40">
        <f t="shared" si="21"/>
        <v>0</v>
      </c>
      <c r="R51" s="4"/>
    </row>
    <row r="52" spans="2:18" x14ac:dyDescent="0.35">
      <c r="B52" s="29">
        <v>4</v>
      </c>
      <c r="C52" s="33" t="s">
        <v>87</v>
      </c>
      <c r="D52" s="33" t="s">
        <v>96</v>
      </c>
      <c r="E52" s="34"/>
      <c r="F52" s="131" t="s">
        <v>59</v>
      </c>
      <c r="G52" s="114" t="s">
        <v>76</v>
      </c>
      <c r="H52" s="116">
        <v>13.66</v>
      </c>
      <c r="I52" s="117">
        <f t="shared" si="17"/>
        <v>0</v>
      </c>
      <c r="J52" s="118" cm="1">
        <f t="array" ref="J52">IFERROR(_xlfn.SWITCH(G52, $Q$10, $R$10, $Q$11, $R$11, $Q$12, $R$12, $Q$13, $R$13, $Q$14, $R$14, $Q$15, $R$15, $Q$16, $R$16, $Q$17, $R$17, $Q$18, $R$18,$Q$19,$R$19,$Q$20,$R$20,$Q$21,$R$21,$Q$22,$R$22,$Q$23,$R$23,$Q$24,$R$24), 0)</f>
        <v>0</v>
      </c>
      <c r="K52" s="119">
        <f t="shared" si="18"/>
        <v>13.66</v>
      </c>
      <c r="L52" s="120">
        <f t="shared" si="19"/>
        <v>0</v>
      </c>
      <c r="M52" s="40">
        <f t="shared" si="20"/>
        <v>0</v>
      </c>
      <c r="N52" s="121" cm="1">
        <f t="array" ref="N52">IFERROR(K52*(1+IFERROR(_xlfn.SWITCH(G52, $Q$10, $S$10, $Q$11, $S$11, $Q$12, $S$12, $Q$13, $S$13, $Q$14, $S$14, $Q$15, $S$15, $Q$16, $S$16, $Q$17, $S$17, $Q$18, $S$18,$Q$19,$S$19,$Q$20,$S$20,$Q$21,$S$21,$Q$22,$S$22,$Q$23,$S$23,$Q$24,$S$24), $S$10))*bp, 0)</f>
        <v>15.549178000000001</v>
      </c>
      <c r="O52" s="40">
        <f t="shared" si="21"/>
        <v>0</v>
      </c>
      <c r="R52" s="4"/>
    </row>
    <row r="53" spans="2:18" x14ac:dyDescent="0.35">
      <c r="B53" s="29">
        <v>5</v>
      </c>
      <c r="C53" s="33" t="s">
        <v>94</v>
      </c>
      <c r="D53" s="33" t="s">
        <v>95</v>
      </c>
      <c r="E53" s="34"/>
      <c r="F53" s="131" t="s">
        <v>59</v>
      </c>
      <c r="G53" s="114" t="s">
        <v>76</v>
      </c>
      <c r="H53" s="116">
        <v>0.1</v>
      </c>
      <c r="I53" s="117">
        <f t="shared" si="17"/>
        <v>0</v>
      </c>
      <c r="J53" s="118" cm="1">
        <f t="array" ref="J53">IFERROR(_xlfn.SWITCH(G53, $Q$10, $R$10, $Q$11, $R$11, $Q$12, $R$12, $Q$13, $R$13, $Q$14, $R$14, $Q$15, $R$15, $Q$16, $R$16, $Q$17, $R$17, $Q$18, $R$18,$Q$19,$R$19,$Q$20,$R$20,$Q$21,$R$21,$Q$22,$R$22,$Q$23,$R$23,$Q$24,$R$24), 0)</f>
        <v>0</v>
      </c>
      <c r="K53" s="119">
        <f t="shared" si="18"/>
        <v>0.1</v>
      </c>
      <c r="L53" s="120"/>
      <c r="M53" s="40">
        <f t="shared" si="20"/>
        <v>0</v>
      </c>
      <c r="N53" s="121" cm="1">
        <f t="array" ref="N53">IFERROR(K53*(1+IFERROR(_xlfn.SWITCH(G53, $Q$10, $S$10, $Q$11, $S$11, $Q$12, $S$12, $Q$13, $S$13, $Q$14, $S$14, $Q$15, $S$15, $Q$16, $S$16, $Q$17, $S$17, $Q$18, $S$18,$Q$19,$S$19,$Q$20,$S$20,$Q$21,$S$21,$Q$22,$S$22,$Q$23,$S$23,$Q$24,$S$24), $S$10))*bp, 0)</f>
        <v>0.11383000000000001</v>
      </c>
      <c r="O53" s="40">
        <f t="shared" si="21"/>
        <v>0</v>
      </c>
      <c r="R53" s="4"/>
    </row>
    <row r="54" spans="2:18" x14ac:dyDescent="0.35">
      <c r="B54" s="29">
        <v>6</v>
      </c>
      <c r="C54" s="33" t="s">
        <v>97</v>
      </c>
      <c r="D54" s="33"/>
      <c r="E54" s="34"/>
      <c r="F54" s="131" t="s">
        <v>59</v>
      </c>
      <c r="G54" s="114" t="s">
        <v>76</v>
      </c>
      <c r="H54" s="116">
        <v>183</v>
      </c>
      <c r="I54" s="117">
        <f t="shared" si="17"/>
        <v>0</v>
      </c>
      <c r="J54" s="118" cm="1">
        <f t="array" ref="J54">IFERROR(_xlfn.SWITCH(G54, $Q$10, $R$10, $Q$11, $R$11, $Q$12, $R$12, $Q$13, $R$13, $Q$14, $R$14, $Q$15, $R$15, $Q$16, $R$16, $Q$17, $R$17, $Q$18, $R$18,$Q$19,$R$19,$Q$20,$R$20,$Q$21,$R$21,$Q$22,$R$22,$Q$23,$R$23,$Q$24,$R$24), 0)</f>
        <v>0</v>
      </c>
      <c r="K54" s="119">
        <f t="shared" si="18"/>
        <v>183</v>
      </c>
      <c r="L54" s="120"/>
      <c r="M54" s="40">
        <f t="shared" si="20"/>
        <v>0</v>
      </c>
      <c r="N54" s="121" cm="1">
        <f t="array" ref="N54">IFERROR(K54*(1+IFERROR(_xlfn.SWITCH(G54, $Q$10, $S$10, $Q$11, $S$11, $Q$12, $S$12, $Q$13, $S$13, $Q$14, $S$14, $Q$15, $S$15, $Q$16, $S$16, $Q$17, $S$17, $Q$18, $S$18,$Q$19,$S$19,$Q$20,$S$20,$Q$21,$S$21,$Q$22,$S$22,$Q$23,$S$23,$Q$24,$S$24), $S$10))*bp, 0)</f>
        <v>208.30890000000002</v>
      </c>
      <c r="O54" s="40">
        <f t="shared" si="21"/>
        <v>0</v>
      </c>
      <c r="R54" s="4"/>
    </row>
    <row r="55" spans="2:18" x14ac:dyDescent="0.35">
      <c r="B55" s="29">
        <v>7</v>
      </c>
      <c r="C55" s="33"/>
      <c r="D55" s="33"/>
      <c r="E55" s="34"/>
      <c r="F55" s="131"/>
      <c r="G55" s="114"/>
      <c r="H55" s="116"/>
      <c r="I55" s="117">
        <f t="shared" si="17"/>
        <v>0</v>
      </c>
      <c r="J55" s="118" cm="1">
        <f t="array" ref="J55">IFERROR(_xlfn.SWITCH(G55, $Q$10, $R$10, $Q$11, $R$11, $Q$12, $R$12, $Q$13, $R$13, $Q$14, $R$14, $Q$15, $R$15, $Q$16, $R$16, $Q$17, $R$17, $Q$18, $R$18,$Q$19,$R$19,$Q$20,$R$20,$Q$21,$R$21,$Q$22,$R$22,$Q$23,$R$23,$Q$24,$R$24), 0)</f>
        <v>0</v>
      </c>
      <c r="K55" s="119">
        <f t="shared" si="18"/>
        <v>0</v>
      </c>
      <c r="L55" s="120"/>
      <c r="M55" s="40">
        <f t="shared" si="20"/>
        <v>0</v>
      </c>
      <c r="N55" s="121" cm="1">
        <f t="array" ref="N55">IFERROR(K55*(1+IFERROR(_xlfn.SWITCH(G55, $Q$10, $S$10, $Q$11, $S$11, $Q$12, $S$12, $Q$13, $S$13, $Q$14, $S$14, $Q$15, $S$15, $Q$16, $S$16, $Q$17, $S$17, $Q$18, $S$18,$Q$19,$S$19,$Q$20,$S$20,$Q$21,$S$21,$Q$22,$S$22,$Q$23,$S$23,$Q$24,$S$24), $S$10))*bp, 0)</f>
        <v>0</v>
      </c>
      <c r="O55" s="40">
        <f t="shared" si="21"/>
        <v>0</v>
      </c>
      <c r="R55" s="4"/>
    </row>
    <row r="56" spans="2:18" x14ac:dyDescent="0.35">
      <c r="B56" s="29">
        <v>8</v>
      </c>
      <c r="C56" s="33"/>
      <c r="D56" s="33"/>
      <c r="E56" s="34"/>
      <c r="F56" s="131"/>
      <c r="G56" s="114"/>
      <c r="H56" s="116"/>
      <c r="I56" s="117">
        <f t="shared" si="17"/>
        <v>0</v>
      </c>
      <c r="J56" s="118" cm="1">
        <f t="array" ref="J56">IFERROR(_xlfn.SWITCH(G56, $Q$10, $R$10, $Q$11, $R$11, $Q$12, $R$12, $Q$13, $R$13, $Q$14, $R$14, $Q$15, $R$15, $Q$16, $R$16, $Q$17, $R$17, $Q$18, $R$18,$Q$19,$R$19,$Q$20,$R$20,$Q$21,$R$21,$Q$22,$R$22,$Q$23,$R$23,$Q$24,$R$24), 0)</f>
        <v>0</v>
      </c>
      <c r="K56" s="119">
        <f t="shared" si="18"/>
        <v>0</v>
      </c>
      <c r="L56" s="120"/>
      <c r="M56" s="40">
        <f t="shared" si="20"/>
        <v>0</v>
      </c>
      <c r="N56" s="121" cm="1">
        <f t="array" ref="N56">IFERROR(K56*(1+IFERROR(_xlfn.SWITCH(G56, $Q$10, $S$10, $Q$11, $S$11, $Q$12, $S$12, $Q$13, $S$13, $Q$14, $S$14, $Q$15, $S$15, $Q$16, $S$16, $Q$17, $S$17, $Q$18, $S$18,$Q$19,$S$19,$Q$20,$S$20,$Q$21,$S$21,$Q$22,$S$22,$Q$23,$S$23,$Q$24,$S$24), $S$10))*bp, 0)</f>
        <v>0</v>
      </c>
      <c r="O56" s="40">
        <f t="shared" si="21"/>
        <v>0</v>
      </c>
      <c r="R56" s="4"/>
    </row>
    <row r="57" spans="2:18" x14ac:dyDescent="0.35">
      <c r="B57" s="29">
        <v>9</v>
      </c>
      <c r="C57" s="33"/>
      <c r="D57" s="33"/>
      <c r="E57" s="34"/>
      <c r="F57" s="131"/>
      <c r="G57" s="114"/>
      <c r="H57" s="116"/>
      <c r="I57" s="117">
        <f t="shared" si="17"/>
        <v>0</v>
      </c>
      <c r="J57" s="118" cm="1">
        <f t="array" ref="J57">IFERROR(_xlfn.SWITCH(G57, $Q$10, $R$10, $Q$11, $R$11, $Q$12, $R$12, $Q$13, $R$13, $Q$14, $R$14, $Q$15, $R$15, $Q$16, $R$16, $Q$17, $R$17, $Q$18, $R$18,$Q$19,$R$19,$Q$20,$R$20,$Q$21,$R$21,$Q$22,$R$22,$Q$23,$R$23,$Q$24,$R$24), 0)</f>
        <v>0</v>
      </c>
      <c r="K57" s="119">
        <f t="shared" si="18"/>
        <v>0</v>
      </c>
      <c r="L57" s="120"/>
      <c r="M57" s="40">
        <f t="shared" si="20"/>
        <v>0</v>
      </c>
      <c r="N57" s="121" cm="1">
        <f t="array" ref="N57">IFERROR(K57*(1+IFERROR(_xlfn.SWITCH(G57, $Q$10, $S$10, $Q$11, $S$11, $Q$12, $S$12, $Q$13, $S$13, $Q$14, $S$14, $Q$15, $S$15, $Q$16, $S$16, $Q$17, $S$17, $Q$18, $S$18,$Q$19,$S$19,$Q$20,$S$20,$Q$21,$S$21,$Q$22,$S$22,$Q$23,$S$23,$Q$24,$S$24), $S$10))*bp, 0)</f>
        <v>0</v>
      </c>
      <c r="O57" s="40">
        <f t="shared" si="21"/>
        <v>0</v>
      </c>
      <c r="R57" s="4"/>
    </row>
    <row r="58" spans="2:18" x14ac:dyDescent="0.35">
      <c r="B58" s="29">
        <v>10</v>
      </c>
      <c r="C58" s="33"/>
      <c r="D58" s="33"/>
      <c r="E58" s="34"/>
      <c r="F58" s="131"/>
      <c r="G58" s="114"/>
      <c r="H58" s="116"/>
      <c r="I58" s="117">
        <f>H58*E58</f>
        <v>0</v>
      </c>
      <c r="J58" s="118" cm="1">
        <f t="array" ref="J58">IFERROR(_xlfn.SWITCH(G58, $Q$10, $R$10, $Q$11, $R$11, $Q$12, $R$12, $Q$13, $R$13, $Q$14, $R$14, $Q$15, $R$15, $Q$16, $R$16, $Q$17, $R$17, $Q$18, $R$18,$Q$19,$R$19,$Q$20,$R$20,$Q$21,$R$21,$Q$22,$R$22,$Q$23,$R$23,$Q$24,$R$24), 0)</f>
        <v>0</v>
      </c>
      <c r="K58" s="119">
        <f t="shared" si="18"/>
        <v>0</v>
      </c>
      <c r="L58" s="120">
        <f>IFERROR(K58*E58,0)/$L$5</f>
        <v>0</v>
      </c>
      <c r="M58" s="40">
        <f>IFERROR(K58*E58,0)</f>
        <v>0</v>
      </c>
      <c r="N58" s="121" cm="1">
        <f t="array" ref="N58">IFERROR(K58*(1+IFERROR(_xlfn.SWITCH(G58, $Q$10, $S$10, $Q$11, $S$11, $Q$12, $S$12, $Q$13, $S$13, $Q$14, $S$14, $Q$15, $S$15, $Q$16, $S$16, $Q$17, $S$17, $Q$18, $S$18,$Q$19,$S$19,$Q$20,$S$20,$Q$21,$S$21,$Q$22,$S$22,$Q$23,$S$23,$Q$24,$S$24), $S$10))*bp, 0)</f>
        <v>0</v>
      </c>
      <c r="O58" s="40">
        <f>IFERROR(N58*E58,0)</f>
        <v>0</v>
      </c>
      <c r="R58" s="4"/>
    </row>
    <row r="59" spans="2:18" ht="13.5" thickBot="1" x14ac:dyDescent="0.4">
      <c r="B59" s="35">
        <v>11</v>
      </c>
      <c r="C59" s="36"/>
      <c r="D59" s="36"/>
      <c r="E59" s="37"/>
      <c r="F59" s="132"/>
      <c r="G59" s="115"/>
      <c r="H59" s="122"/>
      <c r="I59" s="123">
        <f>H59*E59</f>
        <v>0</v>
      </c>
      <c r="J59" s="124" cm="1">
        <f t="array" ref="J59">IFERROR(_xlfn.SWITCH(G59, $Q$10, $R$10, $Q$11, $R$11, $Q$12, $R$12, $Q$13, $R$13, $Q$14, $R$14, $Q$15, $R$15, $Q$16, $R$16, $Q$17, $R$17, $Q$18, $R$18,$Q$19,$R$19,$Q$20,$R$20,$Q$21,$R$21,$Q$22,$R$22,$Q$23,$R$23,$Q$24,$R$24), 0)</f>
        <v>0</v>
      </c>
      <c r="K59" s="125">
        <f t="shared" ref="K59" si="22">IFERROR(H59*(1-J59),0)</f>
        <v>0</v>
      </c>
      <c r="L59" s="126">
        <f>IFERROR(K59*E59,0)/$L$5</f>
        <v>0</v>
      </c>
      <c r="M59" s="41">
        <f>IFERROR(K59*E59,0)</f>
        <v>0</v>
      </c>
      <c r="N59" s="127" cm="1">
        <f t="array" ref="N59">IFERROR(K59*(1+IFERROR(_xlfn.SWITCH(G59, $Q$10, $S$10, $Q$11, $S$11, $Q$12, $S$12, $Q$13, $S$13, $Q$14, $S$14, $Q$15, $S$15, $Q$16, $S$16, $Q$17, $S$17, $Q$18, $S$18,$Q$19,$S$19,$Q$20,$S$20,$Q$21,$S$21,$Q$22,$S$22,$Q$23,$S$23,$Q$24,$S$24), $S$10))*bp, 0)</f>
        <v>0</v>
      </c>
      <c r="O59" s="41">
        <f>IFERROR(N59*E59,0)</f>
        <v>0</v>
      </c>
      <c r="Q59" s="2"/>
    </row>
    <row r="60" spans="2:18" x14ac:dyDescent="0.35">
      <c r="C60" s="6"/>
      <c r="D60" s="6"/>
      <c r="E60" s="42"/>
      <c r="F60" s="42"/>
      <c r="G60" s="42"/>
      <c r="H60" s="50"/>
      <c r="I60" s="7">
        <f>SUM(I49:I59)</f>
        <v>0</v>
      </c>
      <c r="J60" s="8"/>
      <c r="K60" s="42"/>
      <c r="L60" s="95">
        <f>SUM(L49:L59)</f>
        <v>0</v>
      </c>
      <c r="M60" s="7">
        <f>SUM(M49:M59)</f>
        <v>0</v>
      </c>
      <c r="N60" s="9"/>
      <c r="O60" s="7">
        <f>SUM(O49:O59)</f>
        <v>0</v>
      </c>
      <c r="Q60" s="10"/>
    </row>
    <row r="61" spans="2:18" ht="13.5" thickBot="1" x14ac:dyDescent="0.4">
      <c r="C61" s="6"/>
      <c r="D61" s="6"/>
      <c r="E61" s="11"/>
      <c r="F61" s="11"/>
      <c r="G61" s="11"/>
      <c r="H61" s="11"/>
      <c r="I61" s="12"/>
      <c r="J61" s="11"/>
      <c r="K61" s="11"/>
      <c r="L61" s="11"/>
      <c r="M61" s="12"/>
      <c r="N61" s="9"/>
    </row>
    <row r="62" spans="2:18" ht="15" customHeight="1" x14ac:dyDescent="0.35">
      <c r="B62" s="158" t="s">
        <v>28</v>
      </c>
      <c r="C62" s="159"/>
      <c r="D62" s="159"/>
      <c r="E62" s="159"/>
      <c r="F62" s="91"/>
      <c r="G62" s="91"/>
      <c r="H62" s="92" t="s">
        <v>2</v>
      </c>
      <c r="I62" s="88"/>
      <c r="J62" s="92" t="s">
        <v>3</v>
      </c>
      <c r="K62" s="90"/>
      <c r="L62" s="90"/>
      <c r="M62" s="88"/>
      <c r="N62" s="92" t="s">
        <v>4</v>
      </c>
      <c r="O62" s="88"/>
      <c r="R62" s="3"/>
    </row>
    <row r="63" spans="2:18" ht="13.5" thickBot="1" x14ac:dyDescent="0.4">
      <c r="B63" s="43" t="s">
        <v>6</v>
      </c>
      <c r="C63" s="44" t="s">
        <v>7</v>
      </c>
      <c r="D63" s="44" t="s">
        <v>52</v>
      </c>
      <c r="E63" s="44" t="s">
        <v>8</v>
      </c>
      <c r="F63" s="111" t="s">
        <v>61</v>
      </c>
      <c r="G63" s="45" t="s">
        <v>53</v>
      </c>
      <c r="H63" s="46" t="s">
        <v>9</v>
      </c>
      <c r="I63" s="47" t="s">
        <v>10</v>
      </c>
      <c r="J63" s="89" t="s">
        <v>11</v>
      </c>
      <c r="K63" s="93" t="s">
        <v>29</v>
      </c>
      <c r="L63" s="94">
        <f>$L$5</f>
        <v>5.8</v>
      </c>
      <c r="M63" s="45" t="s">
        <v>13</v>
      </c>
      <c r="N63" s="48" t="s">
        <v>14</v>
      </c>
      <c r="O63" s="45" t="s">
        <v>15</v>
      </c>
      <c r="R63" s="3"/>
    </row>
    <row r="64" spans="2:18" ht="14.5" customHeight="1" x14ac:dyDescent="0.35">
      <c r="B64" s="25">
        <v>1</v>
      </c>
      <c r="C64" s="26"/>
      <c r="D64" s="26"/>
      <c r="E64" s="27"/>
      <c r="F64" s="129"/>
      <c r="G64" s="28"/>
      <c r="H64" s="23"/>
      <c r="I64" s="38">
        <f t="shared" ref="I64:I90" si="23">H64*E64</f>
        <v>0</v>
      </c>
      <c r="J64" s="24" cm="1">
        <f t="array" ref="J64">IFERROR(_xlfn.SWITCH(G64, $Q$10, $R$10, $Q$11, $R$11, $Q$12, $R$12, $Q$13, $R$13, $Q$14, $R$14, $Q$15, $R$15, $Q$16, $R$16, $Q$17, $R$17, $Q$18, $R$18,$Q$19,$R$19,$Q$20,$R$20,$Q$21,$R$21,$Q$22,$R$22,$Q$23,$R$23,$Q$24,$R$24), 0)</f>
        <v>0</v>
      </c>
      <c r="K64" s="86">
        <f>IFERROR(H64*(1-J64),0)</f>
        <v>0</v>
      </c>
      <c r="L64" s="87">
        <f t="shared" ref="L64:L90" si="24">IFERROR(K64*E64,0)/$L$5</f>
        <v>0</v>
      </c>
      <c r="M64" s="39">
        <f t="shared" ref="M64:M90" si="25">IFERROR(K64*E64,0)</f>
        <v>0</v>
      </c>
      <c r="N64" s="49" cm="1">
        <f t="array" ref="N64">IFERROR(K64*(1+IFERROR(_xlfn.SWITCH(G64, $Q$10, $S$10, $Q$11, $S$11, $Q$12, $S$12, $Q$13, $S$13, $Q$14, $S$14, $Q$15, $S$15, $Q$16, $S$16, $Q$17, $S$17, $Q$18, $S$18,$Q$19,$S$19,$Q$20,$S$20,$Q$21,$S$21,$Q$22,$S$22,$Q$23,$S$23,$Q$24,$S$24), $S$10))*bp, 0)</f>
        <v>0</v>
      </c>
      <c r="O64" s="39">
        <f t="shared" ref="O64:O90" si="26">IFERROR(N64*E64,0)</f>
        <v>0</v>
      </c>
      <c r="P64" s="2"/>
      <c r="R64" s="3"/>
    </row>
    <row r="65" spans="2:18" x14ac:dyDescent="0.35">
      <c r="B65" s="29">
        <v>2</v>
      </c>
      <c r="C65" s="33"/>
      <c r="D65" s="33"/>
      <c r="E65" s="34"/>
      <c r="F65" s="131"/>
      <c r="G65" s="114"/>
      <c r="H65" s="116"/>
      <c r="I65" s="117">
        <f t="shared" si="23"/>
        <v>0</v>
      </c>
      <c r="J65" s="118" cm="1">
        <f t="array" ref="J65">IFERROR(_xlfn.SWITCH(G65, $Q$10, $R$10, $Q$11, $R$11, $Q$12, $R$12, $Q$13, $R$13, $Q$14, $R$14, $Q$15, $R$15, $Q$16, $R$16, $Q$17, $R$17, $Q$18, $R$18,$Q$19,$R$19,$Q$20,$R$20,$Q$21,$R$21,$Q$22,$R$22,$Q$23,$R$23,$Q$24,$R$24), 0)</f>
        <v>0</v>
      </c>
      <c r="K65" s="119">
        <f t="shared" ref="K65:K83" si="27">IFERROR(H65*(1-J65),0)</f>
        <v>0</v>
      </c>
      <c r="L65" s="120">
        <f t="shared" si="24"/>
        <v>0</v>
      </c>
      <c r="M65" s="40">
        <f t="shared" si="25"/>
        <v>0</v>
      </c>
      <c r="N65" s="121" cm="1">
        <f t="array" ref="N65">IFERROR(K65*(1+IFERROR(_xlfn.SWITCH(G65, $Q$10, $S$10, $Q$11, $S$11, $Q$12, $S$12, $Q$13, $S$13, $Q$14, $S$14, $Q$15, $S$15, $Q$16, $S$16, $Q$17, $S$17, $Q$18, $S$18,$Q$19,$S$19,$Q$20,$S$20,$Q$21,$S$21,$Q$22,$S$22,$Q$23,$S$23,$Q$24,$S$24), $S$10))*bp, 0)</f>
        <v>0</v>
      </c>
      <c r="O65" s="40">
        <f t="shared" si="26"/>
        <v>0</v>
      </c>
      <c r="R65" s="4"/>
    </row>
    <row r="66" spans="2:18" x14ac:dyDescent="0.35">
      <c r="B66" s="29">
        <v>3</v>
      </c>
      <c r="C66" s="33"/>
      <c r="D66" s="33"/>
      <c r="E66" s="34"/>
      <c r="F66" s="131"/>
      <c r="G66" s="114"/>
      <c r="H66" s="116"/>
      <c r="I66" s="117">
        <f t="shared" si="23"/>
        <v>0</v>
      </c>
      <c r="J66" s="118" cm="1">
        <f t="array" ref="J66">IFERROR(_xlfn.SWITCH(G66, $Q$10, $R$10, $Q$11, $R$11, $Q$12, $R$12, $Q$13, $R$13, $Q$14, $R$14, $Q$15, $R$15, $Q$16, $R$16, $Q$17, $R$17, $Q$18, $R$18,$Q$19,$R$19,$Q$20,$R$20,$Q$21,$R$21,$Q$22,$R$22,$Q$23,$R$23,$Q$24,$R$24), 0)</f>
        <v>0</v>
      </c>
      <c r="K66" s="119">
        <f t="shared" si="27"/>
        <v>0</v>
      </c>
      <c r="L66" s="120">
        <f t="shared" si="24"/>
        <v>0</v>
      </c>
      <c r="M66" s="40">
        <f t="shared" si="25"/>
        <v>0</v>
      </c>
      <c r="N66" s="121" cm="1">
        <f t="array" ref="N66">IFERROR(K66*(1+IFERROR(_xlfn.SWITCH(G66, $Q$10, $S$10, $Q$11, $S$11, $Q$12, $S$12, $Q$13, $S$13, $Q$14, $S$14, $Q$15, $S$15, $Q$16, $S$16, $Q$17, $S$17, $Q$18, $S$18,$Q$19,$S$19,$Q$20,$S$20,$Q$21,$S$21,$Q$22,$S$22,$Q$23,$S$23,$Q$24,$S$24), $S$10))*bp, 0)</f>
        <v>0</v>
      </c>
      <c r="O66" s="40">
        <f t="shared" si="26"/>
        <v>0</v>
      </c>
      <c r="R66" s="4"/>
    </row>
    <row r="67" spans="2:18" x14ac:dyDescent="0.35">
      <c r="B67" s="29">
        <v>4</v>
      </c>
      <c r="C67" s="33"/>
      <c r="D67" s="33"/>
      <c r="E67" s="34"/>
      <c r="F67" s="131"/>
      <c r="G67" s="114"/>
      <c r="H67" s="116"/>
      <c r="I67" s="117">
        <f t="shared" si="23"/>
        <v>0</v>
      </c>
      <c r="J67" s="118" cm="1">
        <f t="array" ref="J67">IFERROR(_xlfn.SWITCH(G67, $Q$10, $R$10, $Q$11, $R$11, $Q$12, $R$12, $Q$13, $R$13, $Q$14, $R$14, $Q$15, $R$15, $Q$16, $R$16, $Q$17, $R$17, $Q$18, $R$18,$Q$19,$R$19,$Q$20,$R$20,$Q$21,$R$21,$Q$22,$R$22,$Q$23,$R$23,$Q$24,$R$24), 0)</f>
        <v>0</v>
      </c>
      <c r="K67" s="119">
        <f t="shared" si="27"/>
        <v>0</v>
      </c>
      <c r="L67" s="120">
        <f t="shared" si="24"/>
        <v>0</v>
      </c>
      <c r="M67" s="40">
        <f t="shared" si="25"/>
        <v>0</v>
      </c>
      <c r="N67" s="121" cm="1">
        <f t="array" ref="N67">IFERROR(K67*(1+IFERROR(_xlfn.SWITCH(G67, $Q$10, $S$10, $Q$11, $S$11, $Q$12, $S$12, $Q$13, $S$13, $Q$14, $S$14, $Q$15, $S$15, $Q$16, $S$16, $Q$17, $S$17, $Q$18, $S$18,$Q$19,$S$19,$Q$20,$S$20,$Q$21,$S$21,$Q$22,$S$22,$Q$23,$S$23,$Q$24,$S$24), $S$10))*bp, 0)</f>
        <v>0</v>
      </c>
      <c r="O67" s="40">
        <f t="shared" si="26"/>
        <v>0</v>
      </c>
      <c r="R67" s="4"/>
    </row>
    <row r="68" spans="2:18" x14ac:dyDescent="0.35">
      <c r="B68" s="29">
        <v>5</v>
      </c>
      <c r="C68" s="33"/>
      <c r="D68" s="33"/>
      <c r="E68" s="34"/>
      <c r="F68" s="131"/>
      <c r="G68" s="114"/>
      <c r="H68" s="116"/>
      <c r="I68" s="117">
        <f t="shared" si="23"/>
        <v>0</v>
      </c>
      <c r="J68" s="118" cm="1">
        <f t="array" ref="J68">IFERROR(_xlfn.SWITCH(G68, $Q$10, $R$10, $Q$11, $R$11, $Q$12, $R$12, $Q$13, $R$13, $Q$14, $R$14, $Q$15, $R$15, $Q$16, $R$16, $Q$17, $R$17, $Q$18, $R$18,$Q$19,$R$19,$Q$20,$R$20,$Q$21,$R$21,$Q$22,$R$22,$Q$23,$R$23,$Q$24,$R$24), 0)</f>
        <v>0</v>
      </c>
      <c r="K68" s="119">
        <f t="shared" si="27"/>
        <v>0</v>
      </c>
      <c r="L68" s="120">
        <f t="shared" si="24"/>
        <v>0</v>
      </c>
      <c r="M68" s="40">
        <f t="shared" si="25"/>
        <v>0</v>
      </c>
      <c r="N68" s="121" cm="1">
        <f t="array" ref="N68">IFERROR(K68*(1+IFERROR(_xlfn.SWITCH(G68, $Q$10, $S$10, $Q$11, $S$11, $Q$12, $S$12, $Q$13, $S$13, $Q$14, $S$14, $Q$15, $S$15, $Q$16, $S$16, $Q$17, $S$17, $Q$18, $S$18,$Q$19,$S$19,$Q$20,$S$20,$Q$21,$S$21,$Q$22,$S$22,$Q$23,$S$23,$Q$24,$S$24), $S$10))*bp, 0)</f>
        <v>0</v>
      </c>
      <c r="O68" s="40">
        <f t="shared" si="26"/>
        <v>0</v>
      </c>
      <c r="R68" s="4"/>
    </row>
    <row r="69" spans="2:18" x14ac:dyDescent="0.35">
      <c r="B69" s="29">
        <v>6</v>
      </c>
      <c r="C69" s="33"/>
      <c r="D69" s="33"/>
      <c r="E69" s="34"/>
      <c r="F69" s="131"/>
      <c r="G69" s="114"/>
      <c r="H69" s="116"/>
      <c r="I69" s="117">
        <f t="shared" si="23"/>
        <v>0</v>
      </c>
      <c r="J69" s="118" cm="1">
        <f t="array" ref="J69">IFERROR(_xlfn.SWITCH(G69, $Q$10, $R$10, $Q$11, $R$11, $Q$12, $R$12, $Q$13, $R$13, $Q$14, $R$14, $Q$15, $R$15, $Q$16, $R$16, $Q$17, $R$17, $Q$18, $R$18,$Q$19,$R$19,$Q$20,$R$20,$Q$21,$R$21,$Q$22,$R$22,$Q$23,$R$23,$Q$24,$R$24), 0)</f>
        <v>0</v>
      </c>
      <c r="K69" s="119">
        <f t="shared" si="27"/>
        <v>0</v>
      </c>
      <c r="L69" s="120">
        <f t="shared" si="24"/>
        <v>0</v>
      </c>
      <c r="M69" s="40">
        <f t="shared" si="25"/>
        <v>0</v>
      </c>
      <c r="N69" s="121" cm="1">
        <f t="array" ref="N69">IFERROR(K69*(1+IFERROR(_xlfn.SWITCH(G69, $Q$10, $S$10, $Q$11, $S$11, $Q$12, $S$12, $Q$13, $S$13, $Q$14, $S$14, $Q$15, $S$15, $Q$16, $S$16, $Q$17, $S$17, $Q$18, $S$18,$Q$19,$S$19,$Q$20,$S$20,$Q$21,$S$21,$Q$22,$S$22,$Q$23,$S$23,$Q$24,$S$24), $S$10))*bp, 0)</f>
        <v>0</v>
      </c>
      <c r="O69" s="40">
        <f t="shared" si="26"/>
        <v>0</v>
      </c>
      <c r="R69" s="4"/>
    </row>
    <row r="70" spans="2:18" x14ac:dyDescent="0.35">
      <c r="B70" s="29">
        <v>7</v>
      </c>
      <c r="C70" s="33"/>
      <c r="D70" s="33"/>
      <c r="E70" s="34"/>
      <c r="F70" s="131"/>
      <c r="G70" s="114"/>
      <c r="H70" s="116"/>
      <c r="I70" s="117">
        <f t="shared" si="23"/>
        <v>0</v>
      </c>
      <c r="J70" s="118" cm="1">
        <f t="array" ref="J70">IFERROR(_xlfn.SWITCH(G70, $Q$10, $R$10, $Q$11, $R$11, $Q$12, $R$12, $Q$13, $R$13, $Q$14, $R$14, $Q$15, $R$15, $Q$16, $R$16, $Q$17, $R$17, $Q$18, $R$18,$Q$19,$R$19,$Q$20,$R$20,$Q$21,$R$21,$Q$22,$R$22,$Q$23,$R$23,$Q$24,$R$24), 0)</f>
        <v>0</v>
      </c>
      <c r="K70" s="119">
        <f t="shared" si="27"/>
        <v>0</v>
      </c>
      <c r="L70" s="120">
        <f t="shared" si="24"/>
        <v>0</v>
      </c>
      <c r="M70" s="40">
        <f t="shared" si="25"/>
        <v>0</v>
      </c>
      <c r="N70" s="121" cm="1">
        <f t="array" ref="N70">IFERROR(K70*(1+IFERROR(_xlfn.SWITCH(G70, $Q$10, $S$10, $Q$11, $S$11, $Q$12, $S$12, $Q$13, $S$13, $Q$14, $S$14, $Q$15, $S$15, $Q$16, $S$16, $Q$17, $S$17, $Q$18, $S$18,$Q$19,$S$19,$Q$20,$S$20,$Q$21,$S$21,$Q$22,$S$22,$Q$23,$S$23,$Q$24,$S$24), $S$10))*bp, 0)</f>
        <v>0</v>
      </c>
      <c r="O70" s="40">
        <f t="shared" si="26"/>
        <v>0</v>
      </c>
      <c r="R70" s="4"/>
    </row>
    <row r="71" spans="2:18" x14ac:dyDescent="0.35">
      <c r="B71" s="29">
        <v>8</v>
      </c>
      <c r="C71" s="33"/>
      <c r="D71" s="33"/>
      <c r="E71" s="34"/>
      <c r="F71" s="131"/>
      <c r="G71" s="114"/>
      <c r="H71" s="116"/>
      <c r="I71" s="117">
        <f t="shared" si="23"/>
        <v>0</v>
      </c>
      <c r="J71" s="118" cm="1">
        <f t="array" ref="J71">IFERROR(_xlfn.SWITCH(G71, $Q$10, $R$10, $Q$11, $R$11, $Q$12, $R$12, $Q$13, $R$13, $Q$14, $R$14, $Q$15, $R$15, $Q$16, $R$16, $Q$17, $R$17, $Q$18, $R$18,$Q$19,$R$19,$Q$20,$R$20,$Q$21,$R$21,$Q$22,$R$22,$Q$23,$R$23,$Q$24,$R$24), 0)</f>
        <v>0</v>
      </c>
      <c r="K71" s="119">
        <f t="shared" si="27"/>
        <v>0</v>
      </c>
      <c r="L71" s="120">
        <f t="shared" si="24"/>
        <v>0</v>
      </c>
      <c r="M71" s="40">
        <f t="shared" si="25"/>
        <v>0</v>
      </c>
      <c r="N71" s="121" cm="1">
        <f t="array" ref="N71">IFERROR(K71*(1+IFERROR(_xlfn.SWITCH(G71, $Q$10, $S$10, $Q$11, $S$11, $Q$12, $S$12, $Q$13, $S$13, $Q$14, $S$14, $Q$15, $S$15, $Q$16, $S$16, $Q$17, $S$17, $Q$18, $S$18,$Q$19,$S$19,$Q$20,$S$20,$Q$21,$S$21,$Q$22,$S$22,$Q$23,$S$23,$Q$24,$S$24), $S$10))*bp, 0)</f>
        <v>0</v>
      </c>
      <c r="O71" s="40">
        <f t="shared" si="26"/>
        <v>0</v>
      </c>
      <c r="R71" s="4"/>
    </row>
    <row r="72" spans="2:18" x14ac:dyDescent="0.35">
      <c r="B72" s="29">
        <v>9</v>
      </c>
      <c r="C72" s="33"/>
      <c r="D72" s="33"/>
      <c r="E72" s="34"/>
      <c r="F72" s="131"/>
      <c r="G72" s="114"/>
      <c r="H72" s="116"/>
      <c r="I72" s="117">
        <f t="shared" si="23"/>
        <v>0</v>
      </c>
      <c r="J72" s="118" cm="1">
        <f t="array" ref="J72">IFERROR(_xlfn.SWITCH(G72, $Q$10, $R$10, $Q$11, $R$11, $Q$12, $R$12, $Q$13, $R$13, $Q$14, $R$14, $Q$15, $R$15, $Q$16, $R$16, $Q$17, $R$17, $Q$18, $R$18,$Q$19,$R$19,$Q$20,$R$20,$Q$21,$R$21,$Q$22,$R$22,$Q$23,$R$23,$Q$24,$R$24), 0)</f>
        <v>0</v>
      </c>
      <c r="K72" s="119">
        <f t="shared" si="27"/>
        <v>0</v>
      </c>
      <c r="L72" s="120">
        <f t="shared" si="24"/>
        <v>0</v>
      </c>
      <c r="M72" s="40">
        <f t="shared" si="25"/>
        <v>0</v>
      </c>
      <c r="N72" s="121" cm="1">
        <f t="array" ref="N72">IFERROR(K72*(1+IFERROR(_xlfn.SWITCH(G72, $Q$10, $S$10, $Q$11, $S$11, $Q$12, $S$12, $Q$13, $S$13, $Q$14, $S$14, $Q$15, $S$15, $Q$16, $S$16, $Q$17, $S$17, $Q$18, $S$18,$Q$19,$S$19,$Q$20,$S$20,$Q$21,$S$21,$Q$22,$S$22,$Q$23,$S$23,$Q$24,$S$24), $S$10))*bp, 0)</f>
        <v>0</v>
      </c>
      <c r="O72" s="40">
        <f t="shared" si="26"/>
        <v>0</v>
      </c>
      <c r="R72" s="4"/>
    </row>
    <row r="73" spans="2:18" x14ac:dyDescent="0.35">
      <c r="B73" s="29">
        <v>10</v>
      </c>
      <c r="C73" s="33"/>
      <c r="D73" s="33"/>
      <c r="E73" s="34"/>
      <c r="F73" s="131"/>
      <c r="G73" s="114"/>
      <c r="H73" s="116"/>
      <c r="I73" s="117">
        <f t="shared" si="23"/>
        <v>0</v>
      </c>
      <c r="J73" s="118" cm="1">
        <f t="array" ref="J73">IFERROR(_xlfn.SWITCH(G73, $Q$10, $R$10, $Q$11, $R$11, $Q$12, $R$12, $Q$13, $R$13, $Q$14, $R$14, $Q$15, $R$15, $Q$16, $R$16, $Q$17, $R$17, $Q$18, $R$18,$Q$19,$R$19,$Q$20,$R$20,$Q$21,$R$21,$Q$22,$R$22,$Q$23,$R$23,$Q$24,$R$24), 0)</f>
        <v>0</v>
      </c>
      <c r="K73" s="119">
        <f t="shared" si="27"/>
        <v>0</v>
      </c>
      <c r="L73" s="120">
        <f t="shared" si="24"/>
        <v>0</v>
      </c>
      <c r="M73" s="40">
        <f t="shared" si="25"/>
        <v>0</v>
      </c>
      <c r="N73" s="121" cm="1">
        <f t="array" ref="N73">IFERROR(K73*(1+IFERROR(_xlfn.SWITCH(G73, $Q$10, $S$10, $Q$11, $S$11, $Q$12, $S$12, $Q$13, $S$13, $Q$14, $S$14, $Q$15, $S$15, $Q$16, $S$16, $Q$17, $S$17, $Q$18, $S$18,$Q$19,$S$19,$Q$20,$S$20,$Q$21,$S$21,$Q$22,$S$22,$Q$23,$S$23,$Q$24,$S$24), $S$10))*bp, 0)</f>
        <v>0</v>
      </c>
      <c r="O73" s="40">
        <f t="shared" si="26"/>
        <v>0</v>
      </c>
      <c r="R73" s="4"/>
    </row>
    <row r="74" spans="2:18" x14ac:dyDescent="0.35">
      <c r="B74" s="29">
        <v>11</v>
      </c>
      <c r="C74" s="33"/>
      <c r="D74" s="33"/>
      <c r="E74" s="34"/>
      <c r="F74" s="131"/>
      <c r="G74" s="114"/>
      <c r="H74" s="116"/>
      <c r="I74" s="117">
        <f t="shared" si="23"/>
        <v>0</v>
      </c>
      <c r="J74" s="118" cm="1">
        <f t="array" ref="J74">IFERROR(_xlfn.SWITCH(G74, $Q$10, $R$10, $Q$11, $R$11, $Q$12, $R$12, $Q$13, $R$13, $Q$14, $R$14, $Q$15, $R$15, $Q$16, $R$16, $Q$17, $R$17, $Q$18, $R$18,$Q$19,$R$19,$Q$20,$R$20,$Q$21,$R$21,$Q$22,$R$22,$Q$23,$R$23,$Q$24,$R$24), 0)</f>
        <v>0</v>
      </c>
      <c r="K74" s="119">
        <f t="shared" si="27"/>
        <v>0</v>
      </c>
      <c r="L74" s="120">
        <f t="shared" si="24"/>
        <v>0</v>
      </c>
      <c r="M74" s="40">
        <f t="shared" si="25"/>
        <v>0</v>
      </c>
      <c r="N74" s="121" cm="1">
        <f t="array" ref="N74">IFERROR(K74*(1+IFERROR(_xlfn.SWITCH(G74, $Q$10, $S$10, $Q$11, $S$11, $Q$12, $S$12, $Q$13, $S$13, $Q$14, $S$14, $Q$15, $S$15, $Q$16, $S$16, $Q$17, $S$17, $Q$18, $S$18,$Q$19,$S$19,$Q$20,$S$20,$Q$21,$S$21,$Q$22,$S$22,$Q$23,$S$23,$Q$24,$S$24), $S$10))*bp, 0)</f>
        <v>0</v>
      </c>
      <c r="O74" s="40">
        <f t="shared" si="26"/>
        <v>0</v>
      </c>
      <c r="R74" s="4"/>
    </row>
    <row r="75" spans="2:18" x14ac:dyDescent="0.35">
      <c r="B75" s="29">
        <v>12</v>
      </c>
      <c r="C75" s="33"/>
      <c r="D75" s="33"/>
      <c r="E75" s="34"/>
      <c r="F75" s="131"/>
      <c r="G75" s="114"/>
      <c r="H75" s="116"/>
      <c r="I75" s="117">
        <f t="shared" si="23"/>
        <v>0</v>
      </c>
      <c r="J75" s="118" cm="1">
        <f t="array" ref="J75">IFERROR(_xlfn.SWITCH(G75, $Q$10, $R$10, $Q$11, $R$11, $Q$12, $R$12, $Q$13, $R$13, $Q$14, $R$14, $Q$15, $R$15, $Q$16, $R$16, $Q$17, $R$17, $Q$18, $R$18,$Q$19,$R$19,$Q$20,$R$20,$Q$21,$R$21,$Q$22,$R$22,$Q$23,$R$23,$Q$24,$R$24), 0)</f>
        <v>0</v>
      </c>
      <c r="K75" s="119">
        <f t="shared" si="27"/>
        <v>0</v>
      </c>
      <c r="L75" s="120">
        <f t="shared" si="24"/>
        <v>0</v>
      </c>
      <c r="M75" s="40">
        <f t="shared" si="25"/>
        <v>0</v>
      </c>
      <c r="N75" s="121" cm="1">
        <f t="array" ref="N75">IFERROR(K75*(1+IFERROR(_xlfn.SWITCH(G75, $Q$10, $S$10, $Q$11, $S$11, $Q$12, $S$12, $Q$13, $S$13, $Q$14, $S$14, $Q$15, $S$15, $Q$16, $S$16, $Q$17, $S$17, $Q$18, $S$18,$Q$19,$S$19,$Q$20,$S$20,$Q$21,$S$21,$Q$22,$S$22,$Q$23,$S$23,$Q$24,$S$24), $S$10))*bp, 0)</f>
        <v>0</v>
      </c>
      <c r="O75" s="40">
        <f t="shared" si="26"/>
        <v>0</v>
      </c>
      <c r="R75" s="4"/>
    </row>
    <row r="76" spans="2:18" x14ac:dyDescent="0.35">
      <c r="B76" s="29">
        <v>13</v>
      </c>
      <c r="C76" s="33"/>
      <c r="D76" s="33"/>
      <c r="E76" s="34"/>
      <c r="F76" s="131"/>
      <c r="G76" s="114"/>
      <c r="H76" s="116"/>
      <c r="I76" s="117">
        <f t="shared" si="23"/>
        <v>0</v>
      </c>
      <c r="J76" s="118" cm="1">
        <f t="array" ref="J76">IFERROR(_xlfn.SWITCH(G76, $Q$10, $R$10, $Q$11, $R$11, $Q$12, $R$12, $Q$13, $R$13, $Q$14, $R$14, $Q$15, $R$15, $Q$16, $R$16, $Q$17, $R$17, $Q$18, $R$18,$Q$19,$R$19,$Q$20,$R$20,$Q$21,$R$21,$Q$22,$R$22,$Q$23,$R$23,$Q$24,$R$24), 0)</f>
        <v>0</v>
      </c>
      <c r="K76" s="119">
        <f t="shared" si="27"/>
        <v>0</v>
      </c>
      <c r="L76" s="120">
        <f t="shared" si="24"/>
        <v>0</v>
      </c>
      <c r="M76" s="40">
        <f t="shared" si="25"/>
        <v>0</v>
      </c>
      <c r="N76" s="121" cm="1">
        <f t="array" ref="N76">IFERROR(K76*(1+IFERROR(_xlfn.SWITCH(G76, $Q$10, $S$10, $Q$11, $S$11, $Q$12, $S$12, $Q$13, $S$13, $Q$14, $S$14, $Q$15, $S$15, $Q$16, $S$16, $Q$17, $S$17, $Q$18, $S$18,$Q$19,$S$19,$Q$20,$S$20,$Q$21,$S$21,$Q$22,$S$22,$Q$23,$S$23,$Q$24,$S$24), $S$10))*bp, 0)</f>
        <v>0</v>
      </c>
      <c r="O76" s="40">
        <f t="shared" si="26"/>
        <v>0</v>
      </c>
      <c r="R76" s="4"/>
    </row>
    <row r="77" spans="2:18" x14ac:dyDescent="0.35">
      <c r="B77" s="29">
        <v>14</v>
      </c>
      <c r="C77" s="33"/>
      <c r="D77" s="33"/>
      <c r="E77" s="34"/>
      <c r="F77" s="131"/>
      <c r="G77" s="114"/>
      <c r="H77" s="116"/>
      <c r="I77" s="117">
        <f t="shared" si="23"/>
        <v>0</v>
      </c>
      <c r="J77" s="118" cm="1">
        <f t="array" ref="J77">IFERROR(_xlfn.SWITCH(G77, $Q$10, $R$10, $Q$11, $R$11, $Q$12, $R$12, $Q$13, $R$13, $Q$14, $R$14, $Q$15, $R$15, $Q$16, $R$16, $Q$17, $R$17, $Q$18, $R$18,$Q$19,$R$19,$Q$20,$R$20,$Q$21,$R$21,$Q$22,$R$22,$Q$23,$R$23,$Q$24,$R$24), 0)</f>
        <v>0</v>
      </c>
      <c r="K77" s="119">
        <f t="shared" si="27"/>
        <v>0</v>
      </c>
      <c r="L77" s="120">
        <f t="shared" si="24"/>
        <v>0</v>
      </c>
      <c r="M77" s="40">
        <f t="shared" si="25"/>
        <v>0</v>
      </c>
      <c r="N77" s="121" cm="1">
        <f t="array" ref="N77">IFERROR(K77*(1+IFERROR(_xlfn.SWITCH(G77, $Q$10, $S$10, $Q$11, $S$11, $Q$12, $S$12, $Q$13, $S$13, $Q$14, $S$14, $Q$15, $S$15, $Q$16, $S$16, $Q$17, $S$17, $Q$18, $S$18,$Q$19,$S$19,$Q$20,$S$20,$Q$21,$S$21,$Q$22,$S$22,$Q$23,$S$23,$Q$24,$S$24), $S$10))*bp, 0)</f>
        <v>0</v>
      </c>
      <c r="O77" s="40">
        <f t="shared" si="26"/>
        <v>0</v>
      </c>
      <c r="R77" s="4"/>
    </row>
    <row r="78" spans="2:18" x14ac:dyDescent="0.35">
      <c r="B78" s="29">
        <v>15</v>
      </c>
      <c r="C78" s="33"/>
      <c r="D78" s="33"/>
      <c r="E78" s="34"/>
      <c r="F78" s="131"/>
      <c r="G78" s="114"/>
      <c r="H78" s="116"/>
      <c r="I78" s="117">
        <f t="shared" si="23"/>
        <v>0</v>
      </c>
      <c r="J78" s="118" cm="1">
        <f t="array" ref="J78">IFERROR(_xlfn.SWITCH(G78, $Q$10, $R$10, $Q$11, $R$11, $Q$12, $R$12, $Q$13, $R$13, $Q$14, $R$14, $Q$15, $R$15, $Q$16, $R$16, $Q$17, $R$17, $Q$18, $R$18,$Q$19,$R$19,$Q$20,$R$20,$Q$21,$R$21,$Q$22,$R$22,$Q$23,$R$23,$Q$24,$R$24), 0)</f>
        <v>0</v>
      </c>
      <c r="K78" s="119">
        <f t="shared" si="27"/>
        <v>0</v>
      </c>
      <c r="L78" s="120">
        <f t="shared" si="24"/>
        <v>0</v>
      </c>
      <c r="M78" s="40">
        <f t="shared" si="25"/>
        <v>0</v>
      </c>
      <c r="N78" s="121" cm="1">
        <f t="array" ref="N78">IFERROR(K78*(1+IFERROR(_xlfn.SWITCH(G78, $Q$10, $S$10, $Q$11, $S$11, $Q$12, $S$12, $Q$13, $S$13, $Q$14, $S$14, $Q$15, $S$15, $Q$16, $S$16, $Q$17, $S$17, $Q$18, $S$18,$Q$19,$S$19,$Q$20,$S$20,$Q$21,$S$21,$Q$22,$S$22,$Q$23,$S$23,$Q$24,$S$24), $S$10))*bp, 0)</f>
        <v>0</v>
      </c>
      <c r="O78" s="40">
        <f t="shared" si="26"/>
        <v>0</v>
      </c>
      <c r="R78" s="4"/>
    </row>
    <row r="79" spans="2:18" x14ac:dyDescent="0.35">
      <c r="B79" s="29">
        <v>16</v>
      </c>
      <c r="C79" s="33"/>
      <c r="D79" s="33"/>
      <c r="E79" s="34"/>
      <c r="F79" s="131"/>
      <c r="G79" s="114"/>
      <c r="H79" s="116"/>
      <c r="I79" s="117">
        <f t="shared" si="23"/>
        <v>0</v>
      </c>
      <c r="J79" s="118" cm="1">
        <f t="array" ref="J79">IFERROR(_xlfn.SWITCH(G79, $Q$10, $R$10, $Q$11, $R$11, $Q$12, $R$12, $Q$13, $R$13, $Q$14, $R$14, $Q$15, $R$15, $Q$16, $R$16, $Q$17, $R$17, $Q$18, $R$18,$Q$19,$R$19,$Q$20,$R$20,$Q$21,$R$21,$Q$22,$R$22,$Q$23,$R$23,$Q$24,$R$24), 0)</f>
        <v>0</v>
      </c>
      <c r="K79" s="119">
        <f t="shared" si="27"/>
        <v>0</v>
      </c>
      <c r="L79" s="120">
        <f t="shared" si="24"/>
        <v>0</v>
      </c>
      <c r="M79" s="40">
        <f t="shared" si="25"/>
        <v>0</v>
      </c>
      <c r="N79" s="121" cm="1">
        <f t="array" ref="N79">IFERROR(K79*(1+IFERROR(_xlfn.SWITCH(G79, $Q$10, $S$10, $Q$11, $S$11, $Q$12, $S$12, $Q$13, $S$13, $Q$14, $S$14, $Q$15, $S$15, $Q$16, $S$16, $Q$17, $S$17, $Q$18, $S$18,$Q$19,$S$19,$Q$20,$S$20,$Q$21,$S$21,$Q$22,$S$22,$Q$23,$S$23,$Q$24,$S$24), $S$10))*bp, 0)</f>
        <v>0</v>
      </c>
      <c r="O79" s="40">
        <f t="shared" si="26"/>
        <v>0</v>
      </c>
      <c r="R79" s="4"/>
    </row>
    <row r="80" spans="2:18" x14ac:dyDescent="0.35">
      <c r="B80" s="29">
        <v>17</v>
      </c>
      <c r="C80" s="33"/>
      <c r="D80" s="33"/>
      <c r="E80" s="34"/>
      <c r="F80" s="131"/>
      <c r="G80" s="114"/>
      <c r="H80" s="116"/>
      <c r="I80" s="117">
        <f t="shared" si="23"/>
        <v>0</v>
      </c>
      <c r="J80" s="118" cm="1">
        <f t="array" ref="J80">IFERROR(_xlfn.SWITCH(G80, $Q$10, $R$10, $Q$11, $R$11, $Q$12, $R$12, $Q$13, $R$13, $Q$14, $R$14, $Q$15, $R$15, $Q$16, $R$16, $Q$17, $R$17, $Q$18, $R$18,$Q$19,$R$19,$Q$20,$R$20,$Q$21,$R$21,$Q$22,$R$22,$Q$23,$R$23,$Q$24,$R$24), 0)</f>
        <v>0</v>
      </c>
      <c r="K80" s="119">
        <f t="shared" si="27"/>
        <v>0</v>
      </c>
      <c r="L80" s="120">
        <f t="shared" si="24"/>
        <v>0</v>
      </c>
      <c r="M80" s="40">
        <f t="shared" si="25"/>
        <v>0</v>
      </c>
      <c r="N80" s="121" cm="1">
        <f t="array" ref="N80">IFERROR(K80*(1+IFERROR(_xlfn.SWITCH(G80, $Q$10, $S$10, $Q$11, $S$11, $Q$12, $S$12, $Q$13, $S$13, $Q$14, $S$14, $Q$15, $S$15, $Q$16, $S$16, $Q$17, $S$17, $Q$18, $S$18,$Q$19,$S$19,$Q$20,$S$20,$Q$21,$S$21,$Q$22,$S$22,$Q$23,$S$23,$Q$24,$S$24), $S$10))*bp, 0)</f>
        <v>0</v>
      </c>
      <c r="O80" s="40">
        <f t="shared" si="26"/>
        <v>0</v>
      </c>
      <c r="R80" s="4"/>
    </row>
    <row r="81" spans="2:18" x14ac:dyDescent="0.35">
      <c r="B81" s="29">
        <v>18</v>
      </c>
      <c r="C81" s="33"/>
      <c r="D81" s="33"/>
      <c r="E81" s="34"/>
      <c r="F81" s="131"/>
      <c r="G81" s="114"/>
      <c r="H81" s="116"/>
      <c r="I81" s="117">
        <f t="shared" si="23"/>
        <v>0</v>
      </c>
      <c r="J81" s="118" cm="1">
        <f t="array" ref="J81">IFERROR(_xlfn.SWITCH(G81, $Q$10, $R$10, $Q$11, $R$11, $Q$12, $R$12, $Q$13, $R$13, $Q$14, $R$14, $Q$15, $R$15, $Q$16, $R$16, $Q$17, $R$17, $Q$18, $R$18,$Q$19,$R$19,$Q$20,$R$20,$Q$21,$R$21,$Q$22,$R$22,$Q$23,$R$23,$Q$24,$R$24), 0)</f>
        <v>0</v>
      </c>
      <c r="K81" s="119">
        <f t="shared" si="27"/>
        <v>0</v>
      </c>
      <c r="L81" s="120">
        <f t="shared" si="24"/>
        <v>0</v>
      </c>
      <c r="M81" s="40">
        <f t="shared" si="25"/>
        <v>0</v>
      </c>
      <c r="N81" s="121" cm="1">
        <f t="array" ref="N81">IFERROR(K81*(1+IFERROR(_xlfn.SWITCH(G81, $Q$10, $S$10, $Q$11, $S$11, $Q$12, $S$12, $Q$13, $S$13, $Q$14, $S$14, $Q$15, $S$15, $Q$16, $S$16, $Q$17, $S$17, $Q$18, $S$18,$Q$19,$S$19,$Q$20,$S$20,$Q$21,$S$21,$Q$22,$S$22,$Q$23,$S$23,$Q$24,$S$24), $S$10))*bp, 0)</f>
        <v>0</v>
      </c>
      <c r="O81" s="40">
        <f t="shared" si="26"/>
        <v>0</v>
      </c>
      <c r="R81" s="4"/>
    </row>
    <row r="82" spans="2:18" x14ac:dyDescent="0.35">
      <c r="B82" s="29">
        <v>19</v>
      </c>
      <c r="C82" s="33"/>
      <c r="D82" s="33"/>
      <c r="E82" s="34"/>
      <c r="F82" s="131"/>
      <c r="G82" s="114"/>
      <c r="H82" s="116"/>
      <c r="I82" s="117">
        <f t="shared" si="23"/>
        <v>0</v>
      </c>
      <c r="J82" s="118" cm="1">
        <f t="array" ref="J82">IFERROR(_xlfn.SWITCH(G82, $Q$10, $R$10, $Q$11, $R$11, $Q$12, $R$12, $Q$13, $R$13, $Q$14, $R$14, $Q$15, $R$15, $Q$16, $R$16, $Q$17, $R$17, $Q$18, $R$18,$Q$19,$R$19,$Q$20,$R$20,$Q$21,$R$21,$Q$22,$R$22,$Q$23,$R$23,$Q$24,$R$24), 0)</f>
        <v>0</v>
      </c>
      <c r="K82" s="119">
        <f t="shared" si="27"/>
        <v>0</v>
      </c>
      <c r="L82" s="120">
        <f t="shared" si="24"/>
        <v>0</v>
      </c>
      <c r="M82" s="40">
        <f t="shared" si="25"/>
        <v>0</v>
      </c>
      <c r="N82" s="121" cm="1">
        <f t="array" ref="N82">IFERROR(K82*(1+IFERROR(_xlfn.SWITCH(G82, $Q$10, $S$10, $Q$11, $S$11, $Q$12, $S$12, $Q$13, $S$13, $Q$14, $S$14, $Q$15, $S$15, $Q$16, $S$16, $Q$17, $S$17, $Q$18, $S$18,$Q$19,$S$19,$Q$20,$S$20,$Q$21,$S$21,$Q$22,$S$22,$Q$23,$S$23,$Q$24,$S$24), $S$10))*bp, 0)</f>
        <v>0</v>
      </c>
      <c r="O82" s="40">
        <f t="shared" si="26"/>
        <v>0</v>
      </c>
      <c r="R82" s="4"/>
    </row>
    <row r="83" spans="2:18" x14ac:dyDescent="0.35">
      <c r="B83" s="29">
        <v>20</v>
      </c>
      <c r="C83" s="33"/>
      <c r="D83" s="33"/>
      <c r="E83" s="34"/>
      <c r="F83" s="131"/>
      <c r="G83" s="114"/>
      <c r="H83" s="116"/>
      <c r="I83" s="117">
        <f t="shared" si="23"/>
        <v>0</v>
      </c>
      <c r="J83" s="118" cm="1">
        <f t="array" ref="J83">IFERROR(_xlfn.SWITCH(G83, $Q$10, $R$10, $Q$11, $R$11, $Q$12, $R$12, $Q$13, $R$13, $Q$14, $R$14, $Q$15, $R$15, $Q$16, $R$16, $Q$17, $R$17, $Q$18, $R$18,$Q$19,$R$19,$Q$20,$R$20,$Q$21,$R$21,$Q$22,$R$22,$Q$23,$R$23,$Q$24,$R$24), 0)</f>
        <v>0</v>
      </c>
      <c r="K83" s="119">
        <f t="shared" si="27"/>
        <v>0</v>
      </c>
      <c r="L83" s="120">
        <f t="shared" si="24"/>
        <v>0</v>
      </c>
      <c r="M83" s="40">
        <f t="shared" si="25"/>
        <v>0</v>
      </c>
      <c r="N83" s="121" cm="1">
        <f t="array" ref="N83">IFERROR(K83*(1+IFERROR(_xlfn.SWITCH(G83, $Q$10, $S$10, $Q$11, $S$11, $Q$12, $S$12, $Q$13, $S$13, $Q$14, $S$14, $Q$15, $S$15, $Q$16, $S$16, $Q$17, $S$17, $Q$18, $S$18,$Q$19,$S$19,$Q$20,$S$20,$Q$21,$S$21,$Q$22,$S$22,$Q$23,$S$23,$Q$24,$S$24), $S$10))*bp, 0)</f>
        <v>0</v>
      </c>
      <c r="O83" s="40">
        <f t="shared" si="26"/>
        <v>0</v>
      </c>
      <c r="R83" s="4"/>
    </row>
    <row r="84" spans="2:18" x14ac:dyDescent="0.35">
      <c r="B84" s="29">
        <v>21</v>
      </c>
      <c r="C84" s="33"/>
      <c r="D84" s="33"/>
      <c r="E84" s="34"/>
      <c r="F84" s="131"/>
      <c r="G84" s="114"/>
      <c r="H84" s="116"/>
      <c r="I84" s="117">
        <f t="shared" si="23"/>
        <v>0</v>
      </c>
      <c r="J84" s="118" cm="1">
        <f t="array" ref="J84">IFERROR(_xlfn.SWITCH(G84, $Q$10, $R$10, $Q$11, $R$11, $Q$12, $R$12, $Q$13, $R$13, $Q$14, $R$14, $Q$15, $R$15, $Q$16, $R$16, $Q$17, $R$17, $Q$18, $R$18,$Q$19,$R$19,$Q$20,$R$20,$Q$21,$R$21,$Q$22,$R$22,$Q$23,$R$23,$Q$24,$R$24), 0)</f>
        <v>0</v>
      </c>
      <c r="K84" s="119">
        <f t="shared" ref="K84:K89" si="28">IFERROR(H84*(1-J84),0)</f>
        <v>0</v>
      </c>
      <c r="L84" s="120">
        <f t="shared" si="24"/>
        <v>0</v>
      </c>
      <c r="M84" s="40">
        <f t="shared" si="25"/>
        <v>0</v>
      </c>
      <c r="N84" s="121" cm="1">
        <f t="array" ref="N84">IFERROR(K84*(1+IFERROR(_xlfn.SWITCH(G84, $Q$10, $S$10, $Q$11, $S$11, $Q$12, $S$12, $Q$13, $S$13, $Q$14, $S$14, $Q$15, $S$15, $Q$16, $S$16, $Q$17, $S$17, $Q$18, $S$18,$Q$19,$S$19,$Q$20,$S$20,$Q$21,$S$21,$Q$22,$S$22,$Q$23,$S$23,$Q$24,$S$24), $S$10))*bp, 0)</f>
        <v>0</v>
      </c>
      <c r="O84" s="40">
        <f t="shared" si="26"/>
        <v>0</v>
      </c>
      <c r="R84" s="4"/>
    </row>
    <row r="85" spans="2:18" x14ac:dyDescent="0.35">
      <c r="B85" s="29">
        <v>22</v>
      </c>
      <c r="C85" s="33"/>
      <c r="D85" s="33"/>
      <c r="E85" s="34"/>
      <c r="F85" s="131"/>
      <c r="G85" s="114"/>
      <c r="H85" s="116"/>
      <c r="I85" s="117">
        <f t="shared" si="23"/>
        <v>0</v>
      </c>
      <c r="J85" s="118" cm="1">
        <f t="array" ref="J85">IFERROR(_xlfn.SWITCH(G85, $Q$10, $R$10, $Q$11, $R$11, $Q$12, $R$12, $Q$13, $R$13, $Q$14, $R$14, $Q$15, $R$15, $Q$16, $R$16, $Q$17, $R$17, $Q$18, $R$18,$Q$19,$R$19,$Q$20,$R$20,$Q$21,$R$21,$Q$22,$R$22,$Q$23,$R$23,$Q$24,$R$24), 0)</f>
        <v>0</v>
      </c>
      <c r="K85" s="119">
        <f t="shared" si="28"/>
        <v>0</v>
      </c>
      <c r="L85" s="120">
        <f t="shared" si="24"/>
        <v>0</v>
      </c>
      <c r="M85" s="40">
        <f t="shared" si="25"/>
        <v>0</v>
      </c>
      <c r="N85" s="121" cm="1">
        <f t="array" ref="N85">IFERROR(K85*(1+IFERROR(_xlfn.SWITCH(G85, $Q$10, $S$10, $Q$11, $S$11, $Q$12, $S$12, $Q$13, $S$13, $Q$14, $S$14, $Q$15, $S$15, $Q$16, $S$16, $Q$17, $S$17, $Q$18, $S$18,$Q$19,$S$19,$Q$20,$S$20,$Q$21,$S$21,$Q$22,$S$22,$Q$23,$S$23,$Q$24,$S$24), $S$10))*bp, 0)</f>
        <v>0</v>
      </c>
      <c r="O85" s="40">
        <f t="shared" si="26"/>
        <v>0</v>
      </c>
      <c r="R85" s="4"/>
    </row>
    <row r="86" spans="2:18" x14ac:dyDescent="0.35">
      <c r="B86" s="29">
        <v>23</v>
      </c>
      <c r="C86" s="33"/>
      <c r="D86" s="33"/>
      <c r="E86" s="34"/>
      <c r="F86" s="131"/>
      <c r="G86" s="114"/>
      <c r="H86" s="116"/>
      <c r="I86" s="117">
        <f t="shared" si="23"/>
        <v>0</v>
      </c>
      <c r="J86" s="118" cm="1">
        <f t="array" ref="J86">IFERROR(_xlfn.SWITCH(G86, $Q$10, $R$10, $Q$11, $R$11, $Q$12, $R$12, $Q$13, $R$13, $Q$14, $R$14, $Q$15, $R$15, $Q$16, $R$16, $Q$17, $R$17, $Q$18, $R$18,$Q$19,$R$19,$Q$20,$R$20,$Q$21,$R$21,$Q$22,$R$22,$Q$23,$R$23,$Q$24,$R$24), 0)</f>
        <v>0</v>
      </c>
      <c r="K86" s="119">
        <f t="shared" si="28"/>
        <v>0</v>
      </c>
      <c r="L86" s="120">
        <f t="shared" si="24"/>
        <v>0</v>
      </c>
      <c r="M86" s="40">
        <f t="shared" si="25"/>
        <v>0</v>
      </c>
      <c r="N86" s="121" cm="1">
        <f t="array" ref="N86">IFERROR(K86*(1+IFERROR(_xlfn.SWITCH(G86, $Q$10, $S$10, $Q$11, $S$11, $Q$12, $S$12, $Q$13, $S$13, $Q$14, $S$14, $Q$15, $S$15, $Q$16, $S$16, $Q$17, $S$17, $Q$18, $S$18,$Q$19,$S$19,$Q$20,$S$20,$Q$21,$S$21,$Q$22,$S$22,$Q$23,$S$23,$Q$24,$S$24), $S$10))*bp, 0)</f>
        <v>0</v>
      </c>
      <c r="O86" s="40">
        <f t="shared" si="26"/>
        <v>0</v>
      </c>
      <c r="R86" s="4"/>
    </row>
    <row r="87" spans="2:18" x14ac:dyDescent="0.35">
      <c r="B87" s="29">
        <v>24</v>
      </c>
      <c r="C87" s="33"/>
      <c r="D87" s="33"/>
      <c r="E87" s="34"/>
      <c r="F87" s="131"/>
      <c r="G87" s="114"/>
      <c r="H87" s="116"/>
      <c r="I87" s="117">
        <f t="shared" si="23"/>
        <v>0</v>
      </c>
      <c r="J87" s="118" cm="1">
        <f t="array" ref="J87">IFERROR(_xlfn.SWITCH(G87, $Q$10, $R$10, $Q$11, $R$11, $Q$12, $R$12, $Q$13, $R$13, $Q$14, $R$14, $Q$15, $R$15, $Q$16, $R$16, $Q$17, $R$17, $Q$18, $R$18,$Q$19,$R$19,$Q$20,$R$20,$Q$21,$R$21,$Q$22,$R$22,$Q$23,$R$23,$Q$24,$R$24), 0)</f>
        <v>0</v>
      </c>
      <c r="K87" s="119">
        <f t="shared" si="28"/>
        <v>0</v>
      </c>
      <c r="L87" s="120">
        <f t="shared" si="24"/>
        <v>0</v>
      </c>
      <c r="M87" s="40">
        <f t="shared" si="25"/>
        <v>0</v>
      </c>
      <c r="N87" s="121" cm="1">
        <f t="array" ref="N87">IFERROR(K87*(1+IFERROR(_xlfn.SWITCH(G87, $Q$10, $S$10, $Q$11, $S$11, $Q$12, $S$12, $Q$13, $S$13, $Q$14, $S$14, $Q$15, $S$15, $Q$16, $S$16, $Q$17, $S$17, $Q$18, $S$18,$Q$19,$S$19,$Q$20,$S$20,$Q$21,$S$21,$Q$22,$S$22,$Q$23,$S$23,$Q$24,$S$24), $S$10))*bp, 0)</f>
        <v>0</v>
      </c>
      <c r="O87" s="40">
        <f t="shared" si="26"/>
        <v>0</v>
      </c>
      <c r="R87" s="4"/>
    </row>
    <row r="88" spans="2:18" x14ac:dyDescent="0.35">
      <c r="B88" s="29">
        <v>25</v>
      </c>
      <c r="C88" s="33"/>
      <c r="D88" s="33"/>
      <c r="E88" s="34"/>
      <c r="F88" s="131"/>
      <c r="G88" s="114"/>
      <c r="H88" s="116"/>
      <c r="I88" s="117">
        <f t="shared" si="23"/>
        <v>0</v>
      </c>
      <c r="J88" s="118" cm="1">
        <f t="array" ref="J88">IFERROR(_xlfn.SWITCH(G88, $Q$10, $R$10, $Q$11, $R$11, $Q$12, $R$12, $Q$13, $R$13, $Q$14, $R$14, $Q$15, $R$15, $Q$16, $R$16, $Q$17, $R$17, $Q$18, $R$18,$Q$19,$R$19,$Q$20,$R$20,$Q$21,$R$21,$Q$22,$R$22,$Q$23,$R$23,$Q$24,$R$24), 0)</f>
        <v>0</v>
      </c>
      <c r="K88" s="119">
        <f t="shared" si="28"/>
        <v>0</v>
      </c>
      <c r="L88" s="120">
        <f t="shared" si="24"/>
        <v>0</v>
      </c>
      <c r="M88" s="40">
        <f t="shared" si="25"/>
        <v>0</v>
      </c>
      <c r="N88" s="121" cm="1">
        <f t="array" ref="N88">IFERROR(K88*(1+IFERROR(_xlfn.SWITCH(G88, $Q$10, $S$10, $Q$11, $S$11, $Q$12, $S$12, $Q$13, $S$13, $Q$14, $S$14, $Q$15, $S$15, $Q$16, $S$16, $Q$17, $S$17, $Q$18, $S$18,$Q$19,$S$19,$Q$20,$S$20,$Q$21,$S$21,$Q$22,$S$22,$Q$23,$S$23,$Q$24,$S$24), $S$10))*bp, 0)</f>
        <v>0</v>
      </c>
      <c r="O88" s="40">
        <f t="shared" si="26"/>
        <v>0</v>
      </c>
      <c r="R88" s="4"/>
    </row>
    <row r="89" spans="2:18" x14ac:dyDescent="0.35">
      <c r="B89" s="29">
        <v>26</v>
      </c>
      <c r="C89" s="33"/>
      <c r="D89" s="33"/>
      <c r="E89" s="34"/>
      <c r="F89" s="131"/>
      <c r="G89" s="114"/>
      <c r="H89" s="116"/>
      <c r="I89" s="117">
        <f t="shared" si="23"/>
        <v>0</v>
      </c>
      <c r="J89" s="118" cm="1">
        <f t="array" ref="J89">IFERROR(_xlfn.SWITCH(G89, $Q$10, $R$10, $Q$11, $R$11, $Q$12, $R$12, $Q$13, $R$13, $Q$14, $R$14, $Q$15, $R$15, $Q$16, $R$16, $Q$17, $R$17, $Q$18, $R$18,$Q$19,$R$19,$Q$20,$R$20,$Q$21,$R$21,$Q$22,$R$22,$Q$23,$R$23,$Q$24,$R$24), 0)</f>
        <v>0</v>
      </c>
      <c r="K89" s="119">
        <f t="shared" si="28"/>
        <v>0</v>
      </c>
      <c r="L89" s="120">
        <f t="shared" si="24"/>
        <v>0</v>
      </c>
      <c r="M89" s="40">
        <f t="shared" si="25"/>
        <v>0</v>
      </c>
      <c r="N89" s="121" cm="1">
        <f t="array" ref="N89">IFERROR(K89*(1+IFERROR(_xlfn.SWITCH(G89, $Q$10, $S$10, $Q$11, $S$11, $Q$12, $S$12, $Q$13, $S$13, $Q$14, $S$14, $Q$15, $S$15, $Q$16, $S$16, $Q$17, $S$17, $Q$18, $S$18,$Q$19,$S$19,$Q$20,$S$20,$Q$21,$S$21,$Q$22,$S$22,$Q$23,$S$23,$Q$24,$S$24), $S$10))*bp, 0)</f>
        <v>0</v>
      </c>
      <c r="O89" s="40">
        <f t="shared" si="26"/>
        <v>0</v>
      </c>
      <c r="R89" s="4"/>
    </row>
    <row r="90" spans="2:18" ht="13.5" thickBot="1" x14ac:dyDescent="0.4">
      <c r="B90" s="35">
        <v>27</v>
      </c>
      <c r="C90" s="36"/>
      <c r="D90" s="36"/>
      <c r="E90" s="37"/>
      <c r="F90" s="132"/>
      <c r="G90" s="115"/>
      <c r="H90" s="122"/>
      <c r="I90" s="123">
        <f t="shared" si="23"/>
        <v>0</v>
      </c>
      <c r="J90" s="124" cm="1">
        <f t="array" ref="J90">IFERROR(_xlfn.SWITCH(G90, $Q$10, $R$10, $Q$11, $R$11, $Q$12, $R$12, $Q$13, $R$13, $Q$14, $R$14, $Q$15, $R$15, $Q$16, $R$16, $Q$17, $R$17, $Q$18, $R$18,$Q$19,$R$19,$Q$20,$R$20,$Q$21,$R$21,$Q$22,$R$22,$Q$23,$R$23,$Q$24,$R$24), 0)</f>
        <v>0</v>
      </c>
      <c r="K90" s="125">
        <f t="shared" ref="K90" si="29">IFERROR(H90*(1-J90),0)</f>
        <v>0</v>
      </c>
      <c r="L90" s="126">
        <f t="shared" si="24"/>
        <v>0</v>
      </c>
      <c r="M90" s="41">
        <f t="shared" si="25"/>
        <v>0</v>
      </c>
      <c r="N90" s="127" cm="1">
        <f t="array" ref="N90">IFERROR(K90*(1+IFERROR(_xlfn.SWITCH(G90, $Q$10, $S$10, $Q$11, $S$11, $Q$12, $S$12, $Q$13, $S$13, $Q$14, $S$14, $Q$15, $S$15, $Q$16, $S$16, $Q$17, $S$17, $Q$18, $S$18,$Q$19,$S$19,$Q$20,$S$20,$Q$21,$S$21,$Q$22,$S$22,$Q$23,$S$23,$Q$24,$S$24), $S$10))*bp, 0)</f>
        <v>0</v>
      </c>
      <c r="O90" s="41">
        <f t="shared" si="26"/>
        <v>0</v>
      </c>
      <c r="Q90" s="2"/>
    </row>
    <row r="91" spans="2:18" x14ac:dyDescent="0.35">
      <c r="C91" s="6"/>
      <c r="D91" s="6"/>
      <c r="E91" s="8"/>
      <c r="F91" s="8"/>
      <c r="G91" s="8"/>
      <c r="H91" s="8"/>
      <c r="I91" s="7">
        <f>SUM(I64:I90)</f>
        <v>0</v>
      </c>
      <c r="J91" s="8"/>
      <c r="K91" s="42"/>
      <c r="L91" s="95">
        <f>SUM(L64:L90)</f>
        <v>0</v>
      </c>
      <c r="M91" s="7">
        <f>SUM(M64:M90)</f>
        <v>0</v>
      </c>
      <c r="N91" s="9"/>
      <c r="O91" s="7">
        <f>SUM(O64:O90)</f>
        <v>0</v>
      </c>
      <c r="Q91" s="10"/>
    </row>
    <row r="92" spans="2:18" ht="13.5" thickBot="1" x14ac:dyDescent="0.4">
      <c r="C92" s="6"/>
      <c r="D92" s="6"/>
      <c r="E92" s="11"/>
      <c r="F92" s="11"/>
      <c r="G92" s="11"/>
      <c r="H92" s="11"/>
      <c r="I92" s="12"/>
      <c r="J92" s="11"/>
      <c r="K92" s="11"/>
      <c r="L92" s="11"/>
      <c r="M92" s="12"/>
      <c r="N92" s="9"/>
      <c r="O92" s="12"/>
    </row>
    <row r="93" spans="2:18" ht="15" customHeight="1" x14ac:dyDescent="0.35">
      <c r="B93" s="158" t="s">
        <v>30</v>
      </c>
      <c r="C93" s="159"/>
      <c r="D93" s="159"/>
      <c r="E93" s="159"/>
      <c r="F93" s="91"/>
      <c r="G93" s="91"/>
      <c r="H93" s="92" t="s">
        <v>2</v>
      </c>
      <c r="I93" s="88"/>
      <c r="J93" s="92" t="s">
        <v>3</v>
      </c>
      <c r="K93" s="90"/>
      <c r="L93" s="90"/>
      <c r="M93" s="88"/>
      <c r="N93" s="92" t="s">
        <v>4</v>
      </c>
      <c r="O93" s="88"/>
      <c r="R93" s="3"/>
    </row>
    <row r="94" spans="2:18" ht="13.5" thickBot="1" x14ac:dyDescent="0.4">
      <c r="B94" s="43" t="s">
        <v>6</v>
      </c>
      <c r="C94" s="44" t="s">
        <v>7</v>
      </c>
      <c r="D94" s="44" t="s">
        <v>52</v>
      </c>
      <c r="E94" s="44" t="s">
        <v>8</v>
      </c>
      <c r="F94" s="111" t="s">
        <v>61</v>
      </c>
      <c r="G94" s="45" t="s">
        <v>53</v>
      </c>
      <c r="H94" s="46" t="s">
        <v>9</v>
      </c>
      <c r="I94" s="47" t="s">
        <v>10</v>
      </c>
      <c r="J94" s="89" t="s">
        <v>11</v>
      </c>
      <c r="K94" s="93" t="s">
        <v>29</v>
      </c>
      <c r="L94" s="94">
        <f>$L$5</f>
        <v>5.8</v>
      </c>
      <c r="M94" s="45" t="s">
        <v>13</v>
      </c>
      <c r="N94" s="48" t="s">
        <v>14</v>
      </c>
      <c r="O94" s="45" t="s">
        <v>15</v>
      </c>
      <c r="R94" s="3"/>
    </row>
    <row r="95" spans="2:18" ht="14.5" customHeight="1" x14ac:dyDescent="0.35">
      <c r="B95" s="25">
        <v>1</v>
      </c>
      <c r="C95" s="26"/>
      <c r="D95" s="26"/>
      <c r="E95" s="27"/>
      <c r="F95" s="129"/>
      <c r="G95" s="28"/>
      <c r="H95" s="23"/>
      <c r="I95" s="38">
        <f>H95*E95</f>
        <v>0</v>
      </c>
      <c r="J95" s="24" cm="1">
        <f t="array" ref="J95">IFERROR(_xlfn.SWITCH(G95, $Q$10, $R$10, $Q$11, $R$11, $Q$12, $R$12, $Q$13, $R$13, $Q$14, $R$14, $Q$15, $R$15, $Q$16, $R$16, $Q$17, $R$17, $Q$18, $R$18,$Q$19,$R$19,$Q$20,$R$20,$Q$21,$R$21,$Q$22,$R$22,$Q$23,$R$23,$Q$24,$R$24), 0)</f>
        <v>0</v>
      </c>
      <c r="K95" s="86">
        <f>IFERROR(H95*(1-J95),0)</f>
        <v>0</v>
      </c>
      <c r="L95" s="87">
        <f>IFERROR(K95*E95,0)/$L$5</f>
        <v>0</v>
      </c>
      <c r="M95" s="39">
        <f>IFERROR(K95*E95,0)</f>
        <v>0</v>
      </c>
      <c r="N95" s="49" cm="1">
        <f t="array" ref="N95">IFERROR(K95*(1+IFERROR(_xlfn.SWITCH(G95, $Q$10, $S$10, $Q$11, $S$11, $Q$12, $S$12, $Q$13, $S$13, $Q$14, $S$14, $Q$15, $S$15, $Q$16, $S$16, $Q$17, $S$17, $Q$18, $S$18,$Q$19,$S$19,$Q$20,$S$20,$Q$21,$S$21,$Q$22,$S$22,$Q$23,$S$23,$Q$24,$S$24), $S$10))*bp, 0)</f>
        <v>0</v>
      </c>
      <c r="O95" s="39">
        <f>IFERROR(N95*E95,0)</f>
        <v>0</v>
      </c>
      <c r="P95" s="2"/>
      <c r="R95" s="3"/>
    </row>
    <row r="96" spans="2:18" x14ac:dyDescent="0.35">
      <c r="B96" s="29">
        <v>2</v>
      </c>
      <c r="C96" s="33"/>
      <c r="D96" s="33"/>
      <c r="E96" s="34"/>
      <c r="F96" s="131"/>
      <c r="G96" s="114"/>
      <c r="H96" s="116"/>
      <c r="I96" s="117">
        <f>H96*E96</f>
        <v>0</v>
      </c>
      <c r="J96" s="118" cm="1">
        <f t="array" ref="J96">IFERROR(_xlfn.SWITCH(G96, $Q$10, $R$10, $Q$11, $R$11, $Q$12, $R$12, $Q$13, $R$13, $Q$14, $R$14, $Q$15, $R$15, $Q$16, $R$16, $Q$17, $R$17, $Q$18, $R$18,$Q$19,$R$19,$Q$20,$R$20,$Q$21,$R$21,$Q$22,$R$22,$Q$23,$R$23,$Q$24,$R$24), 0)</f>
        <v>0</v>
      </c>
      <c r="K96" s="119">
        <f t="shared" ref="K96:K97" si="30">IFERROR(H96*(1-J96),0)</f>
        <v>0</v>
      </c>
      <c r="L96" s="120">
        <f>IFERROR(K96*E96,0)/$L$5</f>
        <v>0</v>
      </c>
      <c r="M96" s="40">
        <f>IFERROR(K96*E96,0)</f>
        <v>0</v>
      </c>
      <c r="N96" s="121" cm="1">
        <f t="array" ref="N96">IFERROR(K96*(1+IFERROR(_xlfn.SWITCH(G96, $Q$10, $S$10, $Q$11, $S$11, $Q$12, $S$12, $Q$13, $S$13, $Q$14, $S$14, $Q$15, $S$15, $Q$16, $S$16, $Q$17, $S$17, $Q$18, $S$18,$Q$19,$S$19,$Q$20,$S$20,$Q$21,$S$21,$Q$22,$S$22,$Q$23,$S$23,$Q$24,$S$24), $S$10))*bp, 0)</f>
        <v>0</v>
      </c>
      <c r="O96" s="40">
        <f>IFERROR(N96*E96,0)</f>
        <v>0</v>
      </c>
      <c r="R96" s="4"/>
    </row>
    <row r="97" spans="2:18" x14ac:dyDescent="0.35">
      <c r="B97" s="29">
        <v>3</v>
      </c>
      <c r="C97" s="33"/>
      <c r="D97" s="33"/>
      <c r="E97" s="34"/>
      <c r="F97" s="131"/>
      <c r="G97" s="114"/>
      <c r="H97" s="116"/>
      <c r="I97" s="117">
        <f>H97*E97</f>
        <v>0</v>
      </c>
      <c r="J97" s="118" cm="1">
        <f t="array" ref="J97">IFERROR(_xlfn.SWITCH(G97, $Q$10, $R$10, $Q$11, $R$11, $Q$12, $R$12, $Q$13, $R$13, $Q$14, $R$14, $Q$15, $R$15, $Q$16, $R$16, $Q$17, $R$17, $Q$18, $R$18,$Q$19,$R$19,$Q$20,$R$20,$Q$21,$R$21,$Q$22,$R$22,$Q$23,$R$23,$Q$24,$R$24), 0)</f>
        <v>0</v>
      </c>
      <c r="K97" s="119">
        <f t="shared" si="30"/>
        <v>0</v>
      </c>
      <c r="L97" s="120">
        <f>IFERROR(K97*E97,0)/$L$5</f>
        <v>0</v>
      </c>
      <c r="M97" s="40">
        <f>IFERROR(K97*E97,0)</f>
        <v>0</v>
      </c>
      <c r="N97" s="121" cm="1">
        <f t="array" ref="N97">IFERROR(K97*(1+IFERROR(_xlfn.SWITCH(G97, $Q$10, $S$10, $Q$11, $S$11, $Q$12, $S$12, $Q$13, $S$13, $Q$14, $S$14, $Q$15, $S$15, $Q$16, $S$16, $Q$17, $S$17, $Q$18, $S$18,$Q$19,$S$19,$Q$20,$S$20,$Q$21,$S$21,$Q$22,$S$22,$Q$23,$S$23,$Q$24,$S$24), $S$10))*bp, 0)</f>
        <v>0</v>
      </c>
      <c r="O97" s="40">
        <f>IFERROR(N97*E97,0)</f>
        <v>0</v>
      </c>
      <c r="R97" s="4"/>
    </row>
    <row r="98" spans="2:18" ht="13.5" thickBot="1" x14ac:dyDescent="0.4">
      <c r="B98" s="35">
        <v>4</v>
      </c>
      <c r="C98" s="36"/>
      <c r="D98" s="36"/>
      <c r="E98" s="37"/>
      <c r="F98" s="132"/>
      <c r="G98" s="115"/>
      <c r="H98" s="122"/>
      <c r="I98" s="123">
        <f>H98*E98</f>
        <v>0</v>
      </c>
      <c r="J98" s="124" cm="1">
        <f t="array" ref="J98">IFERROR(_xlfn.SWITCH(G98, $Q$10, $R$10, $Q$11, $R$11, $Q$12, $R$12, $Q$13, $R$13, $Q$14, $R$14, $Q$15, $R$15, $Q$16, $R$16, $Q$17, $R$17, $Q$18, $R$18,$Q$19,$R$19,$Q$20,$R$20,$Q$21,$R$21,$Q$22,$R$22,$Q$23,$R$23,$Q$24,$R$24), 0)</f>
        <v>0</v>
      </c>
      <c r="K98" s="125">
        <f t="shared" ref="K98" si="31">IFERROR(H98*(1-J98),0)</f>
        <v>0</v>
      </c>
      <c r="L98" s="126">
        <f>IFERROR(K98*E98,0)/$L$5</f>
        <v>0</v>
      </c>
      <c r="M98" s="41">
        <f>IFERROR(K98*E98,0)</f>
        <v>0</v>
      </c>
      <c r="N98" s="127" cm="1">
        <f t="array" ref="N98">IFERROR(K98*(1+IFERROR(_xlfn.SWITCH(G98, $Q$10, $S$10, $Q$11, $S$11, $Q$12, $S$12, $Q$13, $S$13, $Q$14, $S$14, $Q$15, $S$15, $Q$16, $S$16, $Q$17, $S$17, $Q$18, $S$18,$Q$19,$S$19,$Q$20,$S$20,$Q$21,$S$21,$Q$22,$S$22,$Q$23,$S$23,$Q$24,$S$24), $S$10))*bp, 0)</f>
        <v>0</v>
      </c>
      <c r="O98" s="41">
        <f>IFERROR(N98*E98,0)</f>
        <v>0</v>
      </c>
      <c r="Q98" s="2"/>
    </row>
    <row r="99" spans="2:18" x14ac:dyDescent="0.35">
      <c r="C99" s="6"/>
      <c r="D99" s="6"/>
      <c r="E99" s="8"/>
      <c r="F99" s="8"/>
      <c r="G99" s="8"/>
      <c r="H99" s="8"/>
      <c r="I99" s="7">
        <f>SUM(I95:I98)</f>
        <v>0</v>
      </c>
      <c r="J99" s="8"/>
      <c r="K99" s="42"/>
      <c r="L99" s="95">
        <f>SUM(L95:L98)</f>
        <v>0</v>
      </c>
      <c r="M99" s="7">
        <f>SUM(M95:M98)</f>
        <v>0</v>
      </c>
      <c r="N99" s="9"/>
      <c r="O99" s="7">
        <f>SUM(O95:O98)</f>
        <v>0</v>
      </c>
      <c r="Q99" s="10"/>
    </row>
    <row r="100" spans="2:18" ht="13.5" thickBot="1" x14ac:dyDescent="0.4"/>
    <row r="101" spans="2:18" ht="15" customHeight="1" x14ac:dyDescent="0.35">
      <c r="B101" s="158" t="s">
        <v>31</v>
      </c>
      <c r="C101" s="159"/>
      <c r="D101" s="159"/>
      <c r="E101" s="159"/>
      <c r="F101" s="91"/>
      <c r="G101" s="91"/>
      <c r="H101" s="92" t="s">
        <v>2</v>
      </c>
      <c r="I101" s="88"/>
      <c r="J101" s="92" t="s">
        <v>3</v>
      </c>
      <c r="K101" s="90"/>
      <c r="L101" s="90"/>
      <c r="M101" s="88"/>
      <c r="N101" s="92" t="s">
        <v>4</v>
      </c>
      <c r="O101" s="88"/>
      <c r="R101" s="3"/>
    </row>
    <row r="102" spans="2:18" ht="13.5" thickBot="1" x14ac:dyDescent="0.4">
      <c r="B102" s="43" t="s">
        <v>6</v>
      </c>
      <c r="C102" s="44" t="s">
        <v>7</v>
      </c>
      <c r="D102" s="44" t="s">
        <v>52</v>
      </c>
      <c r="E102" s="44" t="s">
        <v>8</v>
      </c>
      <c r="F102" s="111" t="s">
        <v>61</v>
      </c>
      <c r="G102" s="45" t="s">
        <v>53</v>
      </c>
      <c r="H102" s="46" t="s">
        <v>9</v>
      </c>
      <c r="I102" s="47" t="s">
        <v>10</v>
      </c>
      <c r="J102" s="89" t="s">
        <v>11</v>
      </c>
      <c r="K102" s="93" t="s">
        <v>29</v>
      </c>
      <c r="L102" s="94">
        <f>$L$5</f>
        <v>5.8</v>
      </c>
      <c r="M102" s="45" t="s">
        <v>13</v>
      </c>
      <c r="N102" s="48" t="s">
        <v>14</v>
      </c>
      <c r="O102" s="45" t="s">
        <v>15</v>
      </c>
      <c r="R102" s="3"/>
    </row>
    <row r="103" spans="2:18" ht="14.5" customHeight="1" x14ac:dyDescent="0.35">
      <c r="B103" s="25">
        <v>1</v>
      </c>
      <c r="C103" s="26"/>
      <c r="D103" s="26"/>
      <c r="E103" s="27"/>
      <c r="F103" s="129"/>
      <c r="G103" s="28"/>
      <c r="H103" s="23"/>
      <c r="I103" s="38">
        <f>H103*E103</f>
        <v>0</v>
      </c>
      <c r="J103" s="24" cm="1">
        <f t="array" ref="J103">IFERROR(_xlfn.SWITCH(G103, $Q$10, $R$10, $Q$11, $R$11, $Q$12, $R$12, $Q$13, $R$13, $Q$14, $R$14, $Q$15, $R$15, $Q$16, $R$16, $Q$17, $R$17, $Q$18, $R$18,$Q$19,$R$19,$Q$20,$R$20,$Q$21,$R$21,$Q$22,$R$22,$Q$23,$R$23,$Q$24,$R$24), 0)</f>
        <v>0</v>
      </c>
      <c r="K103" s="86">
        <f>IFERROR(H103*(1-J103),0)</f>
        <v>0</v>
      </c>
      <c r="L103" s="87">
        <f>IFERROR(K103*E103,0)/$L$5</f>
        <v>0</v>
      </c>
      <c r="M103" s="39">
        <f>IFERROR(K103*E103,0)</f>
        <v>0</v>
      </c>
      <c r="N103" s="49" cm="1">
        <f t="array" ref="N103">IFERROR(K103*(1+IFERROR(_xlfn.SWITCH(G103, $Q$10, $S$10, $Q$11, $S$11, $Q$12, $S$12, $Q$13, $S$13, $Q$14, $S$14, $Q$15, $S$15, $Q$16, $S$16, $Q$17, $S$17, $Q$18, $S$18,$Q$19,$S$19,$Q$20,$S$20,$Q$21,$S$21,$Q$22,$S$22,$Q$23,$S$23,$Q$24,$S$24), $S$10))*bp, 0)</f>
        <v>0</v>
      </c>
      <c r="O103" s="39">
        <f>IFERROR(N103*E103,0)</f>
        <v>0</v>
      </c>
      <c r="P103" s="2"/>
      <c r="R103" s="3"/>
    </row>
    <row r="104" spans="2:18" x14ac:dyDescent="0.35">
      <c r="B104" s="29">
        <v>2</v>
      </c>
      <c r="C104" s="33"/>
      <c r="D104" s="33"/>
      <c r="E104" s="34"/>
      <c r="F104" s="131"/>
      <c r="G104" s="114"/>
      <c r="H104" s="116"/>
      <c r="I104" s="117">
        <f>H104*E104</f>
        <v>0</v>
      </c>
      <c r="J104" s="118" cm="1">
        <f t="array" ref="J104">IFERROR(_xlfn.SWITCH(G104, $Q$10, $R$10, $Q$11, $R$11, $Q$12, $R$12, $Q$13, $R$13, $Q$14, $R$14, $Q$15, $R$15, $Q$16, $R$16, $Q$17, $R$17, $Q$18, $R$18,$Q$19,$R$19,$Q$20,$R$20,$Q$21,$R$21,$Q$22,$R$22,$Q$23,$R$23,$Q$24,$R$24), 0)</f>
        <v>0</v>
      </c>
      <c r="K104" s="119">
        <f t="shared" ref="K104:K105" si="32">IFERROR(H104*(1-J104),0)</f>
        <v>0</v>
      </c>
      <c r="L104" s="120">
        <f>IFERROR(K104*E104,0)/$L$5</f>
        <v>0</v>
      </c>
      <c r="M104" s="40">
        <f>IFERROR(K104*E104,0)</f>
        <v>0</v>
      </c>
      <c r="N104" s="121" cm="1">
        <f t="array" ref="N104">IFERROR(K104*(1+IFERROR(_xlfn.SWITCH(G104, $Q$10, $S$10, $Q$11, $S$11, $Q$12, $S$12, $Q$13, $S$13, $Q$14, $S$14, $Q$15, $S$15, $Q$16, $S$16, $Q$17, $S$17, $Q$18, $S$18,$Q$19,$S$19,$Q$20,$S$20,$Q$21,$S$21,$Q$22,$S$22,$Q$23,$S$23,$Q$24,$S$24), $S$10))*bp, 0)</f>
        <v>0</v>
      </c>
      <c r="O104" s="40">
        <f>IFERROR(N104*E104,0)</f>
        <v>0</v>
      </c>
      <c r="R104" s="4"/>
    </row>
    <row r="105" spans="2:18" x14ac:dyDescent="0.35">
      <c r="B105" s="29">
        <v>3</v>
      </c>
      <c r="C105" s="33"/>
      <c r="D105" s="33"/>
      <c r="E105" s="34"/>
      <c r="F105" s="131"/>
      <c r="G105" s="114"/>
      <c r="H105" s="116"/>
      <c r="I105" s="117">
        <f>H105*E105</f>
        <v>0</v>
      </c>
      <c r="J105" s="118" cm="1">
        <f t="array" ref="J105">IFERROR(_xlfn.SWITCH(G105, $Q$10, $R$10, $Q$11, $R$11, $Q$12, $R$12, $Q$13, $R$13, $Q$14, $R$14, $Q$15, $R$15, $Q$16, $R$16, $Q$17, $R$17, $Q$18, $R$18,$Q$19,$R$19,$Q$20,$R$20,$Q$21,$R$21,$Q$22,$R$22,$Q$23,$R$23,$Q$24,$R$24), 0)</f>
        <v>0</v>
      </c>
      <c r="K105" s="119">
        <f t="shared" si="32"/>
        <v>0</v>
      </c>
      <c r="L105" s="120">
        <f>IFERROR(K105*E105,0)/$L$5</f>
        <v>0</v>
      </c>
      <c r="M105" s="40">
        <f>IFERROR(K105*E105,0)</f>
        <v>0</v>
      </c>
      <c r="N105" s="121" cm="1">
        <f t="array" ref="N105">IFERROR(K105*(1+IFERROR(_xlfn.SWITCH(G105, $Q$10, $S$10, $Q$11, $S$11, $Q$12, $S$12, $Q$13, $S$13, $Q$14, $S$14, $Q$15, $S$15, $Q$16, $S$16, $Q$17, $S$17, $Q$18, $S$18,$Q$19,$S$19,$Q$20,$S$20,$Q$21,$S$21,$Q$22,$S$22,$Q$23,$S$23,$Q$24,$S$24), $S$10))*bp, 0)</f>
        <v>0</v>
      </c>
      <c r="O105" s="40">
        <f>IFERROR(N105*E105,0)</f>
        <v>0</v>
      </c>
      <c r="R105" s="4"/>
    </row>
    <row r="106" spans="2:18" ht="13.5" thickBot="1" x14ac:dyDescent="0.4">
      <c r="B106" s="35">
        <v>4</v>
      </c>
      <c r="C106" s="36"/>
      <c r="D106" s="36"/>
      <c r="E106" s="37"/>
      <c r="F106" s="132"/>
      <c r="G106" s="115"/>
      <c r="H106" s="122"/>
      <c r="I106" s="123">
        <f>H106*E106</f>
        <v>0</v>
      </c>
      <c r="J106" s="124" cm="1">
        <f t="array" ref="J106">IFERROR(_xlfn.SWITCH(G106, $Q$10, $R$10, $Q$11, $R$11, $Q$12, $R$12, $Q$13, $R$13, $Q$14, $R$14, $Q$15, $R$15, $Q$16, $R$16, $Q$17, $R$17, $Q$18, $R$18,$Q$19,$R$19,$Q$20,$R$20,$Q$21,$R$21,$Q$22,$R$22,$Q$23,$R$23,$Q$24,$R$24), 0)</f>
        <v>0</v>
      </c>
      <c r="K106" s="125">
        <f t="shared" ref="K106" si="33">IFERROR(H106*(1-J106),0)</f>
        <v>0</v>
      </c>
      <c r="L106" s="126">
        <f>IFERROR(K106*E106,0)/$L$5</f>
        <v>0</v>
      </c>
      <c r="M106" s="41">
        <f>IFERROR(K106*E106,0)</f>
        <v>0</v>
      </c>
      <c r="N106" s="127" cm="1">
        <f t="array" ref="N106">IFERROR(K106*(1+IFERROR(_xlfn.SWITCH(G106, $Q$10, $S$10, $Q$11, $S$11, $Q$12, $S$12, $Q$13, $S$13, $Q$14, $S$14, $Q$15, $S$15, $Q$16, $S$16, $Q$17, $S$17, $Q$18, $S$18,$Q$19,$S$19,$Q$20,$S$20,$Q$21,$S$21,$Q$22,$S$22,$Q$23,$S$23,$Q$24,$S$24), $S$10))*bp, 0)</f>
        <v>0</v>
      </c>
      <c r="O106" s="41">
        <f>IFERROR(N106*E106,0)</f>
        <v>0</v>
      </c>
      <c r="Q106" s="2"/>
    </row>
    <row r="107" spans="2:18" x14ac:dyDescent="0.35">
      <c r="C107" s="6"/>
      <c r="D107" s="6"/>
      <c r="E107" s="8"/>
      <c r="F107" s="8"/>
      <c r="G107" s="8"/>
      <c r="H107" s="8"/>
      <c r="I107" s="7">
        <f>SUM(I103:I106)</f>
        <v>0</v>
      </c>
      <c r="J107" s="8"/>
      <c r="K107" s="42"/>
      <c r="L107" s="95">
        <f>SUM(L103:L106)</f>
        <v>0</v>
      </c>
      <c r="M107" s="7">
        <f>SUM(M103:M106)</f>
        <v>0</v>
      </c>
      <c r="N107" s="9"/>
      <c r="O107" s="7">
        <f>SUM(O103:O106)</f>
        <v>0</v>
      </c>
      <c r="Q107" s="10"/>
    </row>
    <row r="108" spans="2:18" x14ac:dyDescent="0.35">
      <c r="H108" s="5"/>
      <c r="O108" s="13"/>
    </row>
    <row r="109" spans="2:18" s="14" customFormat="1" ht="14.5" x14ac:dyDescent="0.3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2:18" s="14" customFormat="1" ht="14.5" x14ac:dyDescent="0.3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2:18" s="14" customFormat="1" ht="14.5" x14ac:dyDescent="0.3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2:18" s="14" customFormat="1" ht="14.5" x14ac:dyDescent="0.3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2:15" s="14" customFormat="1" ht="14.5" x14ac:dyDescent="0.3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2:15" s="14" customFormat="1" x14ac:dyDescent="0.35">
      <c r="B114" s="15">
        <v>32</v>
      </c>
      <c r="C114" s="16" t="s">
        <v>32</v>
      </c>
      <c r="D114" s="16"/>
      <c r="E114" s="17">
        <v>0</v>
      </c>
      <c r="F114" s="17"/>
      <c r="G114" s="17" t="s">
        <v>18</v>
      </c>
      <c r="H114" s="18"/>
      <c r="I114" s="18">
        <f t="shared" ref="I114:I121" si="34">H114*E114</f>
        <v>0</v>
      </c>
      <c r="J114" s="19">
        <f t="shared" ref="J114:J121" si="35">$J$65</f>
        <v>0</v>
      </c>
      <c r="K114" s="18">
        <f t="shared" ref="K114:K118" si="36">H114*(1-J114)</f>
        <v>0</v>
      </c>
      <c r="L114" s="18"/>
      <c r="M114" s="20">
        <f t="shared" ref="M114:M121" si="37">I114*(1-J114)</f>
        <v>0</v>
      </c>
      <c r="N114" s="21">
        <f t="shared" ref="N114:N121" si="38">(H114*(1-J114))*(1+iserv)*bp</f>
        <v>0</v>
      </c>
      <c r="O114" s="20">
        <f t="shared" ref="O114:O121" si="39">N114*E114</f>
        <v>0</v>
      </c>
    </row>
    <row r="115" spans="2:15" s="14" customFormat="1" x14ac:dyDescent="0.35">
      <c r="B115" s="15">
        <v>33</v>
      </c>
      <c r="C115" s="16" t="s">
        <v>33</v>
      </c>
      <c r="D115" s="16"/>
      <c r="E115" s="17">
        <v>0</v>
      </c>
      <c r="F115" s="17"/>
      <c r="G115" s="17" t="s">
        <v>18</v>
      </c>
      <c r="H115" s="18"/>
      <c r="I115" s="18">
        <f t="shared" si="34"/>
        <v>0</v>
      </c>
      <c r="J115" s="19">
        <f t="shared" si="35"/>
        <v>0</v>
      </c>
      <c r="K115" s="18">
        <f t="shared" si="36"/>
        <v>0</v>
      </c>
      <c r="L115" s="18"/>
      <c r="M115" s="20">
        <f t="shared" si="37"/>
        <v>0</v>
      </c>
      <c r="N115" s="21">
        <f t="shared" si="38"/>
        <v>0</v>
      </c>
      <c r="O115" s="20">
        <f t="shared" si="39"/>
        <v>0</v>
      </c>
    </row>
    <row r="116" spans="2:15" s="14" customFormat="1" x14ac:dyDescent="0.35">
      <c r="B116" s="15">
        <v>34</v>
      </c>
      <c r="C116" s="16" t="s">
        <v>34</v>
      </c>
      <c r="D116" s="16"/>
      <c r="E116" s="17">
        <v>0</v>
      </c>
      <c r="F116" s="17"/>
      <c r="G116" s="17" t="s">
        <v>18</v>
      </c>
      <c r="H116" s="18"/>
      <c r="I116" s="18">
        <f t="shared" si="34"/>
        <v>0</v>
      </c>
      <c r="J116" s="19">
        <f t="shared" si="35"/>
        <v>0</v>
      </c>
      <c r="K116" s="18">
        <f t="shared" si="36"/>
        <v>0</v>
      </c>
      <c r="L116" s="18"/>
      <c r="M116" s="20">
        <f t="shared" si="37"/>
        <v>0</v>
      </c>
      <c r="N116" s="21">
        <f t="shared" si="38"/>
        <v>0</v>
      </c>
      <c r="O116" s="20">
        <f t="shared" si="39"/>
        <v>0</v>
      </c>
    </row>
    <row r="117" spans="2:15" s="14" customFormat="1" x14ac:dyDescent="0.35">
      <c r="B117" s="15">
        <v>35</v>
      </c>
      <c r="C117" s="16" t="s">
        <v>35</v>
      </c>
      <c r="D117" s="16"/>
      <c r="E117" s="17">
        <v>0</v>
      </c>
      <c r="F117" s="17"/>
      <c r="G117" s="17" t="s">
        <v>18</v>
      </c>
      <c r="H117" s="18"/>
      <c r="I117" s="18">
        <f t="shared" si="34"/>
        <v>0</v>
      </c>
      <c r="J117" s="19">
        <f t="shared" si="35"/>
        <v>0</v>
      </c>
      <c r="K117" s="18">
        <f t="shared" si="36"/>
        <v>0</v>
      </c>
      <c r="L117" s="18"/>
      <c r="M117" s="20">
        <f t="shared" si="37"/>
        <v>0</v>
      </c>
      <c r="N117" s="21">
        <f t="shared" si="38"/>
        <v>0</v>
      </c>
      <c r="O117" s="20">
        <f t="shared" si="39"/>
        <v>0</v>
      </c>
    </row>
    <row r="118" spans="2:15" s="14" customFormat="1" x14ac:dyDescent="0.35">
      <c r="B118" s="15">
        <v>36</v>
      </c>
      <c r="C118" s="16" t="s">
        <v>36</v>
      </c>
      <c r="D118" s="16"/>
      <c r="E118" s="17">
        <v>0</v>
      </c>
      <c r="F118" s="17"/>
      <c r="G118" s="17" t="s">
        <v>18</v>
      </c>
      <c r="H118" s="18"/>
      <c r="I118" s="18">
        <f t="shared" si="34"/>
        <v>0</v>
      </c>
      <c r="J118" s="19">
        <f t="shared" si="35"/>
        <v>0</v>
      </c>
      <c r="K118" s="18">
        <f t="shared" si="36"/>
        <v>0</v>
      </c>
      <c r="L118" s="18"/>
      <c r="M118" s="20">
        <f t="shared" si="37"/>
        <v>0</v>
      </c>
      <c r="N118" s="21">
        <f t="shared" si="38"/>
        <v>0</v>
      </c>
      <c r="O118" s="20">
        <f t="shared" si="39"/>
        <v>0</v>
      </c>
    </row>
    <row r="119" spans="2:15" s="14" customFormat="1" x14ac:dyDescent="0.35">
      <c r="B119" s="15">
        <v>37</v>
      </c>
      <c r="C119" s="16" t="s">
        <v>37</v>
      </c>
      <c r="D119" s="16"/>
      <c r="E119" s="17">
        <v>0</v>
      </c>
      <c r="F119" s="17"/>
      <c r="G119" s="17" t="s">
        <v>18</v>
      </c>
      <c r="H119" s="18"/>
      <c r="I119" s="18">
        <f t="shared" si="34"/>
        <v>0</v>
      </c>
      <c r="J119" s="19">
        <f t="shared" si="35"/>
        <v>0</v>
      </c>
      <c r="K119" s="18"/>
      <c r="L119" s="18"/>
      <c r="M119" s="20">
        <f t="shared" si="37"/>
        <v>0</v>
      </c>
      <c r="N119" s="21">
        <f t="shared" si="38"/>
        <v>0</v>
      </c>
      <c r="O119" s="20">
        <f t="shared" si="39"/>
        <v>0</v>
      </c>
    </row>
    <row r="120" spans="2:15" s="14" customFormat="1" x14ac:dyDescent="0.35">
      <c r="B120" s="15">
        <v>40</v>
      </c>
      <c r="C120" s="16" t="s">
        <v>38</v>
      </c>
      <c r="D120" s="16"/>
      <c r="E120" s="17">
        <v>0</v>
      </c>
      <c r="F120" s="17"/>
      <c r="G120" s="17" t="s">
        <v>18</v>
      </c>
      <c r="H120" s="18"/>
      <c r="I120" s="18">
        <f t="shared" si="34"/>
        <v>0</v>
      </c>
      <c r="J120" s="19">
        <f t="shared" si="35"/>
        <v>0</v>
      </c>
      <c r="K120" s="18">
        <f>H120*(1-J120)</f>
        <v>0</v>
      </c>
      <c r="L120" s="18"/>
      <c r="M120" s="20">
        <f t="shared" si="37"/>
        <v>0</v>
      </c>
      <c r="N120" s="21">
        <f t="shared" si="38"/>
        <v>0</v>
      </c>
      <c r="O120" s="20">
        <f t="shared" si="39"/>
        <v>0</v>
      </c>
    </row>
    <row r="121" spans="2:15" s="14" customFormat="1" x14ac:dyDescent="0.35">
      <c r="B121" s="15">
        <v>41</v>
      </c>
      <c r="C121" s="16" t="s">
        <v>39</v>
      </c>
      <c r="D121" s="16"/>
      <c r="E121" s="17">
        <v>0</v>
      </c>
      <c r="F121" s="17"/>
      <c r="G121" s="17" t="s">
        <v>18</v>
      </c>
      <c r="H121" s="18"/>
      <c r="I121" s="18">
        <f t="shared" si="34"/>
        <v>0</v>
      </c>
      <c r="J121" s="19">
        <f t="shared" si="35"/>
        <v>0</v>
      </c>
      <c r="K121" s="18">
        <f>H121*(1-J121)</f>
        <v>0</v>
      </c>
      <c r="L121" s="18"/>
      <c r="M121" s="20">
        <f t="shared" si="37"/>
        <v>0</v>
      </c>
      <c r="N121" s="21">
        <f t="shared" si="38"/>
        <v>0</v>
      </c>
      <c r="O121" s="20">
        <f t="shared" si="39"/>
        <v>0</v>
      </c>
    </row>
    <row r="122" spans="2:15" s="14" customFormat="1" x14ac:dyDescent="0.35"/>
    <row r="123" spans="2:15" s="14" customFormat="1" x14ac:dyDescent="0.35">
      <c r="B123" s="15">
        <v>25</v>
      </c>
      <c r="C123" s="16" t="s">
        <v>40</v>
      </c>
      <c r="D123" s="16"/>
      <c r="E123" s="17"/>
      <c r="F123" s="17"/>
      <c r="G123" s="22" t="s">
        <v>24</v>
      </c>
      <c r="H123" s="18"/>
      <c r="I123" s="18">
        <f>H123*E123</f>
        <v>0</v>
      </c>
      <c r="J123" s="19">
        <f>$R$18</f>
        <v>0</v>
      </c>
      <c r="K123" s="18">
        <f>H123*(1-J123)</f>
        <v>0</v>
      </c>
      <c r="L123" s="18"/>
      <c r="M123" s="20">
        <f>I123*(1-J123)</f>
        <v>0</v>
      </c>
      <c r="N123" s="21">
        <f>(H123*(1-J123))*(1+iserv)*bp</f>
        <v>0</v>
      </c>
      <c r="O123" s="20">
        <f>N123*E123</f>
        <v>0</v>
      </c>
    </row>
    <row r="124" spans="2:15" s="14" customFormat="1" x14ac:dyDescent="0.35">
      <c r="C124" s="14" t="s">
        <v>85</v>
      </c>
      <c r="D124" s="14" t="s">
        <v>86</v>
      </c>
      <c r="E124" s="14">
        <v>1</v>
      </c>
      <c r="G124" s="14" t="s">
        <v>18</v>
      </c>
      <c r="H124" s="14">
        <v>8588.7999999999993</v>
      </c>
    </row>
    <row r="125" spans="2:15" s="14" customFormat="1" x14ac:dyDescent="0.35">
      <c r="C125" s="14" t="s">
        <v>81</v>
      </c>
      <c r="D125" s="14" t="s">
        <v>83</v>
      </c>
      <c r="E125" s="14">
        <v>1</v>
      </c>
      <c r="H125" s="14">
        <v>0</v>
      </c>
    </row>
    <row r="126" spans="2:15" s="14" customFormat="1" x14ac:dyDescent="0.35">
      <c r="C126" s="14" t="s">
        <v>82</v>
      </c>
      <c r="D126" s="14" t="s">
        <v>84</v>
      </c>
      <c r="E126" s="14">
        <v>1</v>
      </c>
      <c r="G126" s="14" t="s">
        <v>18</v>
      </c>
      <c r="H126" s="14">
        <v>10760</v>
      </c>
    </row>
    <row r="127" spans="2:15" s="14" customFormat="1" x14ac:dyDescent="0.35"/>
    <row r="139" spans="5:7" ht="14.5" x14ac:dyDescent="0.35">
      <c r="E139"/>
      <c r="F139"/>
      <c r="G139"/>
    </row>
    <row r="272" ht="14.15" customHeight="1" x14ac:dyDescent="0.35"/>
    <row r="273" ht="14.15" customHeight="1" x14ac:dyDescent="0.35"/>
    <row r="274" ht="14.15" customHeight="1" x14ac:dyDescent="0.35"/>
    <row r="275" ht="14.15" customHeight="1" x14ac:dyDescent="0.35"/>
    <row r="276" ht="14.15" customHeight="1" x14ac:dyDescent="0.35"/>
    <row r="277" ht="14.15" customHeight="1" x14ac:dyDescent="0.35"/>
    <row r="278" ht="14.15" customHeight="1" x14ac:dyDescent="0.35"/>
    <row r="279" ht="14.15" customHeight="1" x14ac:dyDescent="0.35"/>
    <row r="280" ht="14.15" customHeight="1" x14ac:dyDescent="0.35"/>
  </sheetData>
  <mergeCells count="6">
    <mergeCell ref="B4:E4"/>
    <mergeCell ref="B101:E101"/>
    <mergeCell ref="B62:E62"/>
    <mergeCell ref="B93:E93"/>
    <mergeCell ref="B29:E29"/>
    <mergeCell ref="B47:E47"/>
  </mergeCells>
  <conditionalFormatting sqref="G6:G26 G31:G44 G49:G59 G64:G90 G95:G98 G103:G106">
    <cfRule type="cellIs" dxfId="259" priority="267" operator="equal">
      <formula>$Q$21</formula>
    </cfRule>
    <cfRule type="cellIs" dxfId="258" priority="266" operator="equal">
      <formula>$Q$22</formula>
    </cfRule>
    <cfRule type="cellIs" dxfId="257" priority="395" operator="equal">
      <formula>$Q$16</formula>
    </cfRule>
    <cfRule type="cellIs" dxfId="256" priority="1277" operator="equal">
      <formula>$Q$12</formula>
    </cfRule>
    <cfRule type="cellIs" dxfId="255" priority="1278" operator="equal">
      <formula>$Q$10</formula>
    </cfRule>
    <cfRule type="cellIs" dxfId="254" priority="1279" operator="equal">
      <formula>$Q$11</formula>
    </cfRule>
    <cfRule type="cellIs" dxfId="253" priority="1280" operator="equal">
      <formula>$Q$20</formula>
    </cfRule>
    <cfRule type="cellIs" dxfId="252" priority="1281" operator="equal">
      <formula>$Q$19</formula>
    </cfRule>
    <cfRule type="cellIs" dxfId="251" priority="1282" operator="equal">
      <formula>$Q$24</formula>
    </cfRule>
    <cfRule type="cellIs" dxfId="250" priority="1276" operator="equal">
      <formula>$Q$13</formula>
    </cfRule>
    <cfRule type="cellIs" dxfId="249" priority="1275" operator="equal">
      <formula>$Q$17</formula>
    </cfRule>
    <cfRule type="cellIs" dxfId="248" priority="1274" operator="equal">
      <formula>$Q$18</formula>
    </cfRule>
    <cfRule type="cellIs" dxfId="247" priority="1273" operator="equal">
      <formula>$Q$14</formula>
    </cfRule>
    <cfRule type="cellIs" dxfId="246" priority="396" operator="equal">
      <formula>$Q$15</formula>
    </cfRule>
  </conditionalFormatting>
  <conditionalFormatting sqref="G31:G44 G49:G59 G64:G90 G95:G98 G103:G106 G6:G26">
    <cfRule type="cellIs" dxfId="245" priority="265" operator="equal">
      <formula>$Q$23</formula>
    </cfRule>
  </conditionalFormatting>
  <conditionalFormatting sqref="G31:G44">
    <cfRule type="cellIs" dxfId="244" priority="222" operator="equal">
      <formula>$Q$15</formula>
    </cfRule>
    <cfRule type="cellIs" dxfId="243" priority="221" operator="equal">
      <formula>$Q$16</formula>
    </cfRule>
    <cfRule type="cellIs" dxfId="242" priority="213" operator="equal">
      <formula>$Q$21</formula>
    </cfRule>
    <cfRule type="cellIs" dxfId="241" priority="212" operator="equal">
      <formula>$Q$22</formula>
    </cfRule>
    <cfRule type="cellIs" dxfId="240" priority="211" operator="equal">
      <formula>$Q$23</formula>
    </cfRule>
  </conditionalFormatting>
  <conditionalFormatting sqref="G49:G59">
    <cfRule type="cellIs" dxfId="239" priority="58" operator="equal">
      <formula>$Q$23</formula>
    </cfRule>
    <cfRule type="cellIs" dxfId="238" priority="59" operator="equal">
      <formula>$Q$22</formula>
    </cfRule>
    <cfRule type="cellIs" dxfId="237" priority="60" operator="equal">
      <formula>$Q$21</formula>
    </cfRule>
    <cfRule type="cellIs" dxfId="236" priority="68" operator="equal">
      <formula>$Q$15</formula>
    </cfRule>
    <cfRule type="cellIs" dxfId="235" priority="67" operator="equal">
      <formula>$Q$16</formula>
    </cfRule>
  </conditionalFormatting>
  <conditionalFormatting sqref="G64:G90">
    <cfRule type="cellIs" dxfId="234" priority="50" operator="equal">
      <formula>$Q$16</formula>
    </cfRule>
    <cfRule type="cellIs" dxfId="233" priority="51" operator="equal">
      <formula>$Q$15</formula>
    </cfRule>
    <cfRule type="cellIs" dxfId="232" priority="41" operator="equal">
      <formula>$Q$23</formula>
    </cfRule>
    <cfRule type="cellIs" dxfId="231" priority="42" operator="equal">
      <formula>$Q$22</formula>
    </cfRule>
    <cfRule type="cellIs" dxfId="230" priority="43" operator="equal">
      <formula>$Q$21</formula>
    </cfRule>
  </conditionalFormatting>
  <conditionalFormatting sqref="G95:G98">
    <cfRule type="cellIs" dxfId="229" priority="26" operator="equal">
      <formula>$Q$21</formula>
    </cfRule>
    <cfRule type="cellIs" dxfId="228" priority="34" operator="equal">
      <formula>$Q$15</formula>
    </cfRule>
    <cfRule type="cellIs" dxfId="227" priority="24" operator="equal">
      <formula>$Q$23</formula>
    </cfRule>
    <cfRule type="cellIs" dxfId="226" priority="25" operator="equal">
      <formula>$Q$22</formula>
    </cfRule>
    <cfRule type="cellIs" dxfId="225" priority="33" operator="equal">
      <formula>$Q$16</formula>
    </cfRule>
  </conditionalFormatting>
  <conditionalFormatting sqref="G103:G106">
    <cfRule type="cellIs" dxfId="224" priority="17" operator="equal">
      <formula>$Q$15</formula>
    </cfRule>
    <cfRule type="cellIs" dxfId="223" priority="16" operator="equal">
      <formula>$Q$16</formula>
    </cfRule>
    <cfRule type="cellIs" dxfId="222" priority="7" operator="equal">
      <formula>$Q$23</formula>
    </cfRule>
    <cfRule type="cellIs" dxfId="221" priority="9" operator="equal">
      <formula>$Q$21</formula>
    </cfRule>
    <cfRule type="cellIs" dxfId="220" priority="8" operator="equal">
      <formula>$Q$22</formula>
    </cfRule>
  </conditionalFormatting>
  <conditionalFormatting sqref="J6:J26 J31:J44 J49:J59 J64:J90 J95:J98 J103:J106">
    <cfRule type="expression" dxfId="219" priority="1334">
      <formula>IF(G6=$Q$13,TRUE,FALSE)</formula>
    </cfRule>
    <cfRule type="expression" dxfId="218" priority="1339">
      <formula>IF(G6=$Q$20,TRUE,FALSE)</formula>
    </cfRule>
    <cfRule type="expression" dxfId="217" priority="1338">
      <formula>IF(G6=$Q$18,TRUE,FALSE)</formula>
    </cfRule>
    <cfRule type="expression" dxfId="216" priority="1337">
      <formula>IF(G6=$Q$10,TRUE,FALSE)</formula>
    </cfRule>
    <cfRule type="expression" dxfId="215" priority="1336">
      <formula>IF(G6=$Q$11,TRUE,FALSE)</formula>
    </cfRule>
    <cfRule type="expression" dxfId="214" priority="1335">
      <formula>IF(G6=$Q$12,TRUE,FALSE)</formula>
    </cfRule>
    <cfRule type="expression" dxfId="213" priority="1333">
      <formula>IF(G6=$Q$17,TRUE,FALSE)</formula>
    </cfRule>
    <cfRule type="expression" dxfId="212" priority="1340">
      <formula>IF(G6=$Q$19,TRUE,FALSE)</formula>
    </cfRule>
    <cfRule type="expression" dxfId="211" priority="1341">
      <formula>IF(G6=$Q$24,TRUE,FALSE)</formula>
    </cfRule>
  </conditionalFormatting>
  <conditionalFormatting sqref="J6:J26">
    <cfRule type="expression" dxfId="210" priority="263">
      <formula>IF(G6=$Q$22,TRUE,FALSE)</formula>
    </cfRule>
    <cfRule type="expression" dxfId="209" priority="264">
      <formula>IF(G6=$Q$21,TRUE,FALSE)</formula>
    </cfRule>
    <cfRule type="expression" dxfId="208" priority="393">
      <formula>IF(G6=$Q$15,TRUE,FALSE)</formula>
    </cfRule>
    <cfRule type="expression" dxfId="207" priority="394">
      <formula>IF(G6=$Q$14,TRUE,FALSE)</formula>
    </cfRule>
    <cfRule type="expression" dxfId="206" priority="392">
      <formula>IF(G6=$Q$16,TRUE,FALSE)</formula>
    </cfRule>
    <cfRule type="expression" dxfId="205" priority="262">
      <formula>IF(G6=$Q$23,TRUE,FALSE)</formula>
    </cfRule>
  </conditionalFormatting>
  <conditionalFormatting sqref="J31:J44">
    <cfRule type="expression" dxfId="204" priority="210">
      <formula>IF(G31=$Q$21,TRUE,FALSE)</formula>
    </cfRule>
    <cfRule type="expression" dxfId="203" priority="218">
      <formula>IF(G31=$Q$16,TRUE,FALSE)</formula>
    </cfRule>
    <cfRule type="expression" dxfId="202" priority="220">
      <formula>IF(G31=$Q$14,TRUE,FALSE)</formula>
    </cfRule>
    <cfRule type="expression" dxfId="201" priority="208">
      <formula>IF(G31=$Q$23,TRUE,FALSE)</formula>
    </cfRule>
    <cfRule type="expression" dxfId="200" priority="209">
      <formula>IF(G31=$Q$22,TRUE,FALSE)</formula>
    </cfRule>
    <cfRule type="expression" dxfId="199" priority="219">
      <formula>IF(G31=$Q$15,TRUE,FALSE)</formula>
    </cfRule>
  </conditionalFormatting>
  <conditionalFormatting sqref="J49:J59">
    <cfRule type="expression" dxfId="198" priority="66">
      <formula>IF(G49=$Q$14,TRUE,FALSE)</formula>
    </cfRule>
    <cfRule type="expression" dxfId="197" priority="57">
      <formula>IF(G49=$Q$21,TRUE,FALSE)</formula>
    </cfRule>
    <cfRule type="expression" dxfId="196" priority="56">
      <formula>IF(G49=$Q$22,TRUE,FALSE)</formula>
    </cfRule>
    <cfRule type="expression" dxfId="195" priority="65">
      <formula>IF(G49=$Q$15,TRUE,FALSE)</formula>
    </cfRule>
    <cfRule type="expression" dxfId="194" priority="64">
      <formula>IF(G49=$Q$16,TRUE,FALSE)</formula>
    </cfRule>
    <cfRule type="expression" dxfId="193" priority="55">
      <formula>IF(G49=$Q$23,TRUE,FALSE)</formula>
    </cfRule>
  </conditionalFormatting>
  <conditionalFormatting sqref="J64:J90">
    <cfRule type="expression" dxfId="192" priority="38">
      <formula>IF(G64=$Q$23,TRUE,FALSE)</formula>
    </cfRule>
    <cfRule type="expression" dxfId="191" priority="39">
      <formula>IF(G64=$Q$22,TRUE,FALSE)</formula>
    </cfRule>
    <cfRule type="expression" dxfId="190" priority="48">
      <formula>IF(G64=$Q$15,TRUE,FALSE)</formula>
    </cfRule>
    <cfRule type="expression" dxfId="189" priority="40">
      <formula>IF(G64=$Q$21,TRUE,FALSE)</formula>
    </cfRule>
    <cfRule type="expression" dxfId="188" priority="47">
      <formula>IF(G64=$Q$16,TRUE,FALSE)</formula>
    </cfRule>
    <cfRule type="expression" dxfId="187" priority="49">
      <formula>IF(G64=$Q$14,TRUE,FALSE)</formula>
    </cfRule>
  </conditionalFormatting>
  <conditionalFormatting sqref="J95:J98">
    <cfRule type="expression" dxfId="186" priority="23">
      <formula>IF(G95=$Q$21,TRUE,FALSE)</formula>
    </cfRule>
    <cfRule type="expression" dxfId="185" priority="21">
      <formula>IF(G95=$Q$23,TRUE,FALSE)</formula>
    </cfRule>
    <cfRule type="expression" dxfId="184" priority="22">
      <formula>IF(G95=$Q$22,TRUE,FALSE)</formula>
    </cfRule>
    <cfRule type="expression" dxfId="183" priority="30">
      <formula>IF(G95=$Q$16,TRUE,FALSE)</formula>
    </cfRule>
    <cfRule type="expression" dxfId="182" priority="31">
      <formula>IF(G95=$Q$15,TRUE,FALSE)</formula>
    </cfRule>
    <cfRule type="expression" dxfId="181" priority="32">
      <formula>IF(G95=$Q$14,TRUE,FALSE)</formula>
    </cfRule>
  </conditionalFormatting>
  <conditionalFormatting sqref="J103:J106">
    <cfRule type="expression" dxfId="180" priority="14">
      <formula>IF(G103=$Q$15,TRUE,FALSE)</formula>
    </cfRule>
    <cfRule type="expression" dxfId="179" priority="4">
      <formula>IF(G103=$Q$23,TRUE,FALSE)</formula>
    </cfRule>
    <cfRule type="expression" dxfId="178" priority="5">
      <formula>IF(G103=$Q$22,TRUE,FALSE)</formula>
    </cfRule>
    <cfRule type="expression" dxfId="177" priority="6">
      <formula>IF(G103=$Q$21,TRUE,FALSE)</formula>
    </cfRule>
    <cfRule type="expression" dxfId="176" priority="13">
      <formula>IF(G103=$Q$16,TRUE,FALSE)</formula>
    </cfRule>
    <cfRule type="expression" dxfId="175" priority="15">
      <formula>IF(G103=$Q$14,TRUE,FALSE)</formula>
    </cfRule>
  </conditionalFormatting>
  <conditionalFormatting sqref="M6:M26">
    <cfRule type="dataBar" priority="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{19D5DE5E-48DD-4945-B413-E3BF25156C40}</x14:id>
        </ext>
      </extLst>
    </cfRule>
  </conditionalFormatting>
  <conditionalFormatting sqref="N6:N26 N31:N44 N49:N59 N64:N90 N95:N98 N103:N106">
    <cfRule type="expression" dxfId="174" priority="1390">
      <formula>IF(G6=$Q$11,TRUE,FALSE)</formula>
    </cfRule>
    <cfRule type="expression" dxfId="173" priority="1395">
      <formula>IF(G6=$Q$24,TRUE,FALSE)</formula>
    </cfRule>
    <cfRule type="expression" dxfId="172" priority="1387">
      <formula>IF(G6=$Q$17,TRUE,FALSE)</formula>
    </cfRule>
    <cfRule type="expression" dxfId="171" priority="1388">
      <formula>IF(G6=$Q$13,TRUE,FALSE)</formula>
    </cfRule>
    <cfRule type="expression" dxfId="170" priority="1389">
      <formula>IF(G6=$Q$12,TRUE,FALSE)</formula>
    </cfRule>
    <cfRule type="expression" dxfId="169" priority="1391">
      <formula>IF(G6=$Q$10,TRUE,FALSE)</formula>
    </cfRule>
    <cfRule type="expression" dxfId="168" priority="1392">
      <formula>IF(G6=$Q$18,TRUE,FALSE)</formula>
    </cfRule>
    <cfRule type="expression" dxfId="167" priority="1393">
      <formula>IF(G6=$Q$20,TRUE,FALSE)</formula>
    </cfRule>
    <cfRule type="expression" dxfId="166" priority="1394">
      <formula>IF(G6=$Q$19,TRUE,FALSE)</formula>
    </cfRule>
  </conditionalFormatting>
  <conditionalFormatting sqref="N6:N26">
    <cfRule type="expression" dxfId="165" priority="389">
      <formula>IF(G6=$Q$16,TRUE,FALSE)</formula>
    </cfRule>
    <cfRule type="expression" dxfId="164" priority="259">
      <formula>IF(G6=$Q$23,TRUE,FALSE)</formula>
    </cfRule>
    <cfRule type="expression" dxfId="163" priority="390">
      <formula>IF(G6=$Q$15,TRUE,FALSE)</formula>
    </cfRule>
    <cfRule type="expression" dxfId="162" priority="391">
      <formula>IF(G6=$Q$14,TRUE,FALSE)</formula>
    </cfRule>
    <cfRule type="expression" dxfId="161" priority="260">
      <formula>IF(G6=$Q$22,TRUE,FALSE)</formula>
    </cfRule>
    <cfRule type="expression" dxfId="160" priority="261">
      <formula>IF(G6=$Q$21,TRUE,FALSE)</formula>
    </cfRule>
  </conditionalFormatting>
  <conditionalFormatting sqref="N31:N44">
    <cfRule type="expression" dxfId="159" priority="215">
      <formula>IF(G31=$Q$16,TRUE,FALSE)</formula>
    </cfRule>
    <cfRule type="expression" dxfId="158" priority="205">
      <formula>IF(G31=$Q$23,TRUE,FALSE)</formula>
    </cfRule>
    <cfRule type="expression" dxfId="157" priority="216">
      <formula>IF(G31=$Q$15,TRUE,FALSE)</formula>
    </cfRule>
    <cfRule type="expression" dxfId="156" priority="217">
      <formula>IF(G31=$Q$14,TRUE,FALSE)</formula>
    </cfRule>
    <cfRule type="expression" dxfId="155" priority="206">
      <formula>IF(G31=$Q$22,TRUE,FALSE)</formula>
    </cfRule>
    <cfRule type="expression" dxfId="154" priority="207">
      <formula>IF(G31=$Q$21,TRUE,FALSE)</formula>
    </cfRule>
  </conditionalFormatting>
  <conditionalFormatting sqref="N49:N59">
    <cfRule type="expression" dxfId="153" priority="62">
      <formula>IF(G49=$Q$15,TRUE,FALSE)</formula>
    </cfRule>
    <cfRule type="expression" dxfId="152" priority="61">
      <formula>IF(G49=$Q$16,TRUE,FALSE)</formula>
    </cfRule>
    <cfRule type="expression" dxfId="151" priority="63">
      <formula>IF(G49=$Q$14,TRUE,FALSE)</formula>
    </cfRule>
    <cfRule type="expression" dxfId="150" priority="52">
      <formula>IF(G49=$Q$23,TRUE,FALSE)</formula>
    </cfRule>
    <cfRule type="expression" dxfId="149" priority="54">
      <formula>IF(G49=$Q$21,TRUE,FALSE)</formula>
    </cfRule>
    <cfRule type="expression" dxfId="148" priority="53">
      <formula>IF(G49=$Q$22,TRUE,FALSE)</formula>
    </cfRule>
  </conditionalFormatting>
  <conditionalFormatting sqref="N64:N90">
    <cfRule type="expression" dxfId="147" priority="44">
      <formula>IF(G64=$Q$16,TRUE,FALSE)</formula>
    </cfRule>
    <cfRule type="expression" dxfId="146" priority="35">
      <formula>IF(G64=$Q$23,TRUE,FALSE)</formula>
    </cfRule>
    <cfRule type="expression" dxfId="145" priority="37">
      <formula>IF(G64=$Q$21,TRUE,FALSE)</formula>
    </cfRule>
    <cfRule type="expression" dxfId="144" priority="36">
      <formula>IF(G64=$Q$22,TRUE,FALSE)</formula>
    </cfRule>
    <cfRule type="expression" dxfId="143" priority="46">
      <formula>IF(G64=$Q$14,TRUE,FALSE)</formula>
    </cfRule>
    <cfRule type="expression" dxfId="142" priority="45">
      <formula>IF(G64=$Q$15,TRUE,FALSE)</formula>
    </cfRule>
  </conditionalFormatting>
  <conditionalFormatting sqref="N95:N98">
    <cfRule type="expression" dxfId="141" priority="28">
      <formula>IF(G95=$Q$15,TRUE,FALSE)</formula>
    </cfRule>
    <cfRule type="expression" dxfId="140" priority="20">
      <formula>IF(G95=$Q$21,TRUE,FALSE)</formula>
    </cfRule>
    <cfRule type="expression" dxfId="139" priority="19">
      <formula>IF(G95=$Q$22,TRUE,FALSE)</formula>
    </cfRule>
    <cfRule type="expression" dxfId="138" priority="18">
      <formula>IF(G95=$Q$23,TRUE,FALSE)</formula>
    </cfRule>
    <cfRule type="expression" dxfId="137" priority="29">
      <formula>IF(G95=$Q$14,TRUE,FALSE)</formula>
    </cfRule>
    <cfRule type="expression" dxfId="136" priority="27">
      <formula>IF(G95=$Q$16,TRUE,FALSE)</formula>
    </cfRule>
  </conditionalFormatting>
  <conditionalFormatting sqref="N103:N106">
    <cfRule type="expression" dxfId="135" priority="10">
      <formula>IF(G103=$Q$16,TRUE,FALSE)</formula>
    </cfRule>
    <cfRule type="expression" dxfId="134" priority="3">
      <formula>IF(G103=$Q$21,TRUE,FALSE)</formula>
    </cfRule>
    <cfRule type="expression" dxfId="133" priority="2">
      <formula>IF(G103=$Q$22,TRUE,FALSE)</formula>
    </cfRule>
    <cfRule type="expression" dxfId="132" priority="1">
      <formula>IF(G103=$Q$23,TRUE,FALSE)</formula>
    </cfRule>
    <cfRule type="expression" dxfId="131" priority="12">
      <formula>IF(G103=$Q$14,TRUE,FALSE)</formula>
    </cfRule>
    <cfRule type="expression" dxfId="130" priority="11">
      <formula>IF(G103=$Q$15,TRUE,FALSE)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D5DE5E-48DD-4945-B413-E3BF25156C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M6:M26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5FFD-FF19-458B-BDAB-1C6BBEE5DB13}">
  <sheetPr codeName="Sheet2">
    <tabColor rgb="FFFFFF00"/>
  </sheetPr>
  <dimension ref="B1:Z275"/>
  <sheetViews>
    <sheetView showGridLines="0" topLeftCell="J1" zoomScale="80" zoomScaleNormal="80" workbookViewId="0">
      <selection activeCell="B96" sqref="B96:E96"/>
    </sheetView>
  </sheetViews>
  <sheetFormatPr defaultColWidth="8.81640625" defaultRowHeight="13" x14ac:dyDescent="0.35"/>
  <cols>
    <col min="1" max="1" width="3.453125" style="1" customWidth="1"/>
    <col min="2" max="2" width="5.1796875" style="1" customWidth="1"/>
    <col min="3" max="3" width="61.453125" style="1" customWidth="1"/>
    <col min="4" max="4" width="19.453125" style="1" customWidth="1"/>
    <col min="5" max="6" width="12.453125" style="1" customWidth="1"/>
    <col min="7" max="7" width="18.81640625" style="1" bestFit="1" customWidth="1"/>
    <col min="8" max="8" width="14.453125" style="1" customWidth="1"/>
    <col min="9" max="9" width="16.81640625" style="1" bestFit="1" customWidth="1"/>
    <col min="10" max="10" width="15.81640625" style="1" bestFit="1" customWidth="1"/>
    <col min="11" max="11" width="13.453125" style="1" customWidth="1"/>
    <col min="12" max="12" width="13.453125" style="1" hidden="1" customWidth="1"/>
    <col min="13" max="13" width="16.453125" style="1" customWidth="1"/>
    <col min="14" max="15" width="21.54296875" style="1" customWidth="1"/>
    <col min="16" max="16" width="4.453125" style="1" customWidth="1"/>
    <col min="17" max="17" width="18.81640625" style="1" bestFit="1" customWidth="1"/>
    <col min="18" max="18" width="12.54296875" style="1" bestFit="1" customWidth="1"/>
    <col min="19" max="19" width="9.6328125" style="1" bestFit="1" customWidth="1"/>
    <col min="20" max="20" width="8.81640625" style="1"/>
    <col min="21" max="21" width="16" style="1" bestFit="1" customWidth="1"/>
    <col min="22" max="22" width="9.6328125" style="1" customWidth="1"/>
    <col min="23" max="26" width="15.453125" style="1" customWidth="1"/>
    <col min="27" max="16384" width="8.81640625" style="1"/>
  </cols>
  <sheetData>
    <row r="1" spans="2:26" ht="8.15" customHeight="1" thickBot="1" x14ac:dyDescent="0.4">
      <c r="O1" s="2"/>
    </row>
    <row r="2" spans="2:26" ht="13.5" thickBot="1" x14ac:dyDescent="0.4">
      <c r="B2" s="133" t="s">
        <v>0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5"/>
    </row>
    <row r="3" spans="2:26" ht="5.15" customHeight="1" thickBot="1" x14ac:dyDescent="0.4">
      <c r="O3" s="2"/>
    </row>
    <row r="4" spans="2:26" ht="15" customHeight="1" x14ac:dyDescent="0.35">
      <c r="B4" s="158" t="s">
        <v>1</v>
      </c>
      <c r="C4" s="159"/>
      <c r="D4" s="159"/>
      <c r="E4" s="159"/>
      <c r="F4" s="91"/>
      <c r="G4" s="91"/>
      <c r="H4" s="92" t="s">
        <v>2</v>
      </c>
      <c r="I4" s="88"/>
      <c r="J4" s="92" t="s">
        <v>3</v>
      </c>
      <c r="K4" s="90"/>
      <c r="L4" s="90"/>
      <c r="M4" s="88"/>
      <c r="N4" s="92" t="s">
        <v>4</v>
      </c>
      <c r="O4" s="88"/>
      <c r="Q4" s="1" t="s">
        <v>5</v>
      </c>
      <c r="R4" s="3">
        <v>0.13830000000000001</v>
      </c>
    </row>
    <row r="5" spans="2:26" ht="13.5" thickBot="1" x14ac:dyDescent="0.4">
      <c r="B5" s="105" t="s">
        <v>6</v>
      </c>
      <c r="C5" s="106" t="s">
        <v>7</v>
      </c>
      <c r="D5" s="106" t="s">
        <v>52</v>
      </c>
      <c r="E5" s="106" t="s">
        <v>8</v>
      </c>
      <c r="F5" s="111" t="s">
        <v>61</v>
      </c>
      <c r="G5" s="107" t="s">
        <v>53</v>
      </c>
      <c r="H5" s="108" t="s">
        <v>9</v>
      </c>
      <c r="I5" s="109" t="s">
        <v>10</v>
      </c>
      <c r="J5" s="110" t="s">
        <v>11</v>
      </c>
      <c r="K5" s="111" t="s">
        <v>12</v>
      </c>
      <c r="L5" s="157">
        <v>1</v>
      </c>
      <c r="M5" s="107" t="s">
        <v>13</v>
      </c>
      <c r="N5" s="113" t="s">
        <v>14</v>
      </c>
      <c r="O5" s="107" t="s">
        <v>15</v>
      </c>
      <c r="Q5" s="1" t="s">
        <v>16</v>
      </c>
      <c r="R5" s="3">
        <v>7.0099999999999996E-2</v>
      </c>
    </row>
    <row r="6" spans="2:26" ht="14.5" customHeight="1" x14ac:dyDescent="0.35">
      <c r="B6" s="25">
        <v>1</v>
      </c>
      <c r="C6" s="26"/>
      <c r="D6" s="26"/>
      <c r="E6" s="27"/>
      <c r="F6" s="129"/>
      <c r="G6" s="28"/>
      <c r="H6" s="138"/>
      <c r="I6" s="80">
        <f t="shared" ref="I6:I26" si="0">H6*E6</f>
        <v>0</v>
      </c>
      <c r="J6" s="24" cm="1">
        <f t="array" ref="J6">IFERROR(_xlfn.SWITCH(G6, $Q$10, $R$10, $Q$11, $R$11, $Q$12, $R$12, $Q$13, $R$13, $Q$14, $R$14, $Q$15, $R$15, $Q$16, $R$16, $Q$17, $R$17, $Q$18, $R$18,$Q$19,$R$19,$Q$20,$R$20,$Q$21,$R$21,$Q$22,$R$22,$Q$23,$R$23,$Q$24,$R$24), 0)</f>
        <v>0</v>
      </c>
      <c r="K6" s="87">
        <f>IFERROR(H6*(1-J6),0)</f>
        <v>0</v>
      </c>
      <c r="L6" s="87">
        <f>IFERROR(K6*E6,0)/$L$5</f>
        <v>0</v>
      </c>
      <c r="M6" s="82">
        <f>IFERROR(K6*E6,0)</f>
        <v>0</v>
      </c>
      <c r="N6" s="85" cm="1">
        <f t="array" ref="N6">IFERROR(K6*(1+IFERROR(_xlfn.SWITCH(G6, $Q$10, $S$10, $Q$11, $S$11, $Q$12, $S$12, $Q$13, $S$13, $Q$14, $S$14, $Q$15, $S$15, $Q$16, $S$16, $Q$17, $S$17, $Q$18, $S$18,$Q$19,$S$19,$Q$20,$S$20,$Q$21,$S$21,$Q$22,$S$22,$Q$23,$S$23,$Q$24,$S$24), $S$10))*bp, 0)</f>
        <v>0</v>
      </c>
      <c r="O6" s="82">
        <f>IFERROR(N6*E6,0)</f>
        <v>0</v>
      </c>
      <c r="P6" s="2"/>
      <c r="Q6" s="1" t="s">
        <v>17</v>
      </c>
      <c r="R6" s="3">
        <v>0.11</v>
      </c>
    </row>
    <row r="7" spans="2:26" x14ac:dyDescent="0.35">
      <c r="B7" s="29">
        <v>2</v>
      </c>
      <c r="C7" s="30"/>
      <c r="D7" s="30"/>
      <c r="E7" s="31"/>
      <c r="F7" s="130"/>
      <c r="G7" s="114"/>
      <c r="H7" s="139"/>
      <c r="I7" s="140">
        <f t="shared" si="0"/>
        <v>0</v>
      </c>
      <c r="J7" s="118" cm="1">
        <f t="array" ref="J7">IFERROR(_xlfn.SWITCH(G7, $Q$10, $R$10, $Q$11, $R$11, $Q$12, $R$12, $Q$13, $R$13, $Q$14, $R$14, $Q$15, $R$15, $Q$16, $R$16, $Q$17, $R$17, $Q$18, $R$18,$Q$19,$R$19,$Q$20,$R$20,$Q$21,$R$21,$Q$22,$R$22,$Q$23,$R$23,$Q$24,$R$24), 0)</f>
        <v>0</v>
      </c>
      <c r="K7" s="120">
        <f t="shared" ref="K7:K26" si="1">IFERROR(H7*(1-J7),0)</f>
        <v>0</v>
      </c>
      <c r="L7" s="120">
        <f t="shared" ref="L7:L26" si="2">IFERROR(K7*E7,0)/$L$5</f>
        <v>0</v>
      </c>
      <c r="M7" s="83">
        <f>IFERROR(K7*E7,0)</f>
        <v>0</v>
      </c>
      <c r="N7" s="143" cm="1">
        <f t="array" ref="N7">IFERROR(K7*(1+IFERROR(_xlfn.SWITCH(G7, $Q$10, $S$10, $Q$11, $S$11, $Q$12, $S$12, $Q$13, $S$13, $Q$14, $S$14, $Q$15, $S$15, $Q$16, $S$16, $Q$17, $S$17, $Q$18, $S$18,$Q$19,$S$19,$Q$20,$S$20,$Q$21,$S$21,$Q$22,$S$22,$Q$23,$S$23,$Q$24,$S$24), $S$10))*bp, 0)</f>
        <v>0</v>
      </c>
      <c r="O7" s="83">
        <f t="shared" ref="O7:O26" si="3">IFERROR(N7*E7,0)</f>
        <v>0</v>
      </c>
      <c r="Q7" s="1" t="s">
        <v>19</v>
      </c>
      <c r="R7" s="4">
        <v>1</v>
      </c>
    </row>
    <row r="8" spans="2:26" ht="13.5" thickBot="1" x14ac:dyDescent="0.4">
      <c r="B8" s="29">
        <v>3</v>
      </c>
      <c r="C8" s="30"/>
      <c r="D8" s="30"/>
      <c r="E8" s="31"/>
      <c r="F8" s="130"/>
      <c r="G8" s="114"/>
      <c r="H8" s="139"/>
      <c r="I8" s="140">
        <f t="shared" si="0"/>
        <v>0</v>
      </c>
      <c r="J8" s="118" cm="1">
        <f t="array" ref="J8">IFERROR(_xlfn.SWITCH(G8, $Q$10, $R$10, $Q$11, $R$11, $Q$12, $R$12, $Q$13, $R$13, $Q$14, $R$14, $Q$15, $R$15, $Q$16, $R$16, $Q$17, $R$17, $Q$18, $R$18,$Q$19,$R$19,$Q$20,$R$20,$Q$21,$R$21,$Q$22,$R$22,$Q$23,$R$23,$Q$24,$R$24), 0)</f>
        <v>0</v>
      </c>
      <c r="K8" s="120">
        <f t="shared" si="1"/>
        <v>0</v>
      </c>
      <c r="L8" s="120">
        <f t="shared" si="2"/>
        <v>0</v>
      </c>
      <c r="M8" s="83">
        <f t="shared" ref="M8:M26" si="4">IFERROR(K8*E8,0)</f>
        <v>0</v>
      </c>
      <c r="N8" s="143" cm="1">
        <f t="array" ref="N8">IFERROR(K8*(1+IFERROR(_xlfn.SWITCH(G8, $Q$10, $S$10, $Q$11, $S$11, $Q$12, $S$12, $Q$13, $S$13, $Q$14, $S$14, $Q$15, $S$15, $Q$16, $S$16, $Q$17, $S$17, $Q$18, $S$18,$Q$19,$S$19,$Q$20,$S$20,$Q$21,$S$21,$Q$22,$S$22,$Q$23,$S$23,$Q$24,$S$24), $S$10))*bp, 0)</f>
        <v>0</v>
      </c>
      <c r="O8" s="83">
        <f t="shared" si="3"/>
        <v>0</v>
      </c>
      <c r="R8" s="4"/>
    </row>
    <row r="9" spans="2:26" ht="15" thickBot="1" x14ac:dyDescent="0.4">
      <c r="B9" s="29">
        <v>4</v>
      </c>
      <c r="C9" s="32"/>
      <c r="D9" s="32"/>
      <c r="E9" s="31"/>
      <c r="F9" s="130"/>
      <c r="G9" s="114"/>
      <c r="H9" s="139"/>
      <c r="I9" s="140">
        <f t="shared" si="0"/>
        <v>0</v>
      </c>
      <c r="J9" s="118" cm="1">
        <f t="array" ref="J9">IFERROR(_xlfn.SWITCH(G9, $Q$10, $R$10, $Q$11, $R$11, $Q$12, $R$12, $Q$13, $R$13, $Q$14, $R$14, $Q$15, $R$15, $Q$16, $R$16, $Q$17, $R$17, $Q$18, $R$18,$Q$19,$R$19,$Q$20,$R$20,$Q$21,$R$21,$Q$22,$R$22,$Q$23,$R$23,$Q$24,$R$24), 0)</f>
        <v>0</v>
      </c>
      <c r="K9" s="120">
        <f t="shared" si="1"/>
        <v>0</v>
      </c>
      <c r="L9" s="120">
        <f t="shared" si="2"/>
        <v>0</v>
      </c>
      <c r="M9" s="83">
        <f t="shared" si="4"/>
        <v>0</v>
      </c>
      <c r="N9" s="143" cm="1">
        <f t="array" ref="N9">IFERROR(K9*(1+IFERROR(_xlfn.SWITCH(G9, $Q$10, $S$10, $Q$11, $S$11, $Q$12, $S$12, $Q$13, $S$13, $Q$14, $S$14, $Q$15, $S$15, $Q$16, $S$16, $Q$17, $S$17, $Q$18, $S$18,$Q$19,$S$19,$Q$20,$S$20,$Q$21,$S$21,$Q$22,$S$22,$Q$23,$S$23,$Q$24,$S$24), $S$10))*bp, 0)</f>
        <v>0</v>
      </c>
      <c r="O9" s="83">
        <f t="shared" si="3"/>
        <v>0</v>
      </c>
      <c r="R9" s="61" t="s">
        <v>54</v>
      </c>
      <c r="S9" s="60" t="s">
        <v>55</v>
      </c>
      <c r="U9" t="s">
        <v>61</v>
      </c>
      <c r="V9" t="s">
        <v>8</v>
      </c>
      <c r="W9" t="s">
        <v>63</v>
      </c>
      <c r="X9" t="s">
        <v>65</v>
      </c>
      <c r="Y9" t="s">
        <v>64</v>
      </c>
      <c r="Z9" t="s">
        <v>66</v>
      </c>
    </row>
    <row r="10" spans="2:26" ht="14.5" x14ac:dyDescent="0.35">
      <c r="B10" s="29">
        <v>5</v>
      </c>
      <c r="C10" s="32"/>
      <c r="D10" s="32"/>
      <c r="E10" s="31"/>
      <c r="F10" s="130"/>
      <c r="G10" s="114"/>
      <c r="H10" s="139"/>
      <c r="I10" s="140">
        <f t="shared" si="0"/>
        <v>0</v>
      </c>
      <c r="J10" s="118" cm="1">
        <f t="array" ref="J10">IFERROR(_xlfn.SWITCH(G10, $Q$10, $R$10, $Q$11, $R$11, $Q$12, $R$12, $Q$13, $R$13, $Q$14, $R$14, $Q$15, $R$15, $Q$16, $R$16, $Q$17, $R$17, $Q$18, $R$18,$Q$19,$R$19,$Q$20,$R$20,$Q$21,$R$21,$Q$22,$R$22,$Q$23,$R$23,$Q$24,$R$24), 0)</f>
        <v>0</v>
      </c>
      <c r="K10" s="120">
        <f t="shared" si="1"/>
        <v>0</v>
      </c>
      <c r="L10" s="120">
        <f t="shared" si="2"/>
        <v>0</v>
      </c>
      <c r="M10" s="83">
        <f t="shared" si="4"/>
        <v>0</v>
      </c>
      <c r="N10" s="143" cm="1">
        <f t="array" ref="N10">IFERROR(K10*(1+IFERROR(_xlfn.SWITCH(G10, $Q$10, $S$10, $Q$11, $S$11, $Q$12, $S$12, $Q$13, $S$13, $Q$14, $S$14, $Q$15, $S$15, $Q$16, $S$16, $Q$17, $S$17, $Q$18, $S$18,$Q$19,$S$19,$Q$20,$S$20,$Q$21,$S$21,$Q$22,$S$22,$Q$23,$S$23,$Q$24,$S$24), $S$10))*bp, 0)</f>
        <v>0</v>
      </c>
      <c r="O10" s="83">
        <f t="shared" si="3"/>
        <v>0</v>
      </c>
      <c r="Q10" s="62" t="s">
        <v>21</v>
      </c>
      <c r="R10" s="71">
        <v>0</v>
      </c>
      <c r="S10" s="59">
        <f>isaas</f>
        <v>0.13830000000000001</v>
      </c>
      <c r="U10" t="s">
        <v>21</v>
      </c>
      <c r="V10" s="137">
        <f>'Opportunity_Name USD'!$E$6</f>
        <v>0</v>
      </c>
      <c r="W10" s="136">
        <f>SUMIF('Opp Name'!$F:$F,Table142[[#This Row],[Group]],'Opp Name'!$I:$I)</f>
        <v>0</v>
      </c>
      <c r="X10" s="136" t="e">
        <f>W10/V10</f>
        <v>#DIV/0!</v>
      </c>
      <c r="Y10" s="136">
        <f>SUMIF('Opp Name'!$F:$F,Table142[[#This Row],[Group]],'Opp Name'!$M:$M)</f>
        <v>0</v>
      </c>
      <c r="Z10" s="136" t="e">
        <f>Y10/V10</f>
        <v>#DIV/0!</v>
      </c>
    </row>
    <row r="11" spans="2:26" ht="14.5" x14ac:dyDescent="0.35">
      <c r="B11" s="29">
        <v>6</v>
      </c>
      <c r="C11" s="30"/>
      <c r="D11" s="30"/>
      <c r="E11" s="31"/>
      <c r="F11" s="130"/>
      <c r="G11" s="114"/>
      <c r="H11" s="139"/>
      <c r="I11" s="140">
        <f t="shared" si="0"/>
        <v>0</v>
      </c>
      <c r="J11" s="118" cm="1">
        <f t="array" ref="J11">IFERROR(_xlfn.SWITCH(G11, $Q$10, $R$10, $Q$11, $R$11, $Q$12, $R$12, $Q$13, $R$13, $Q$14, $R$14, $Q$15, $R$15, $Q$16, $R$16, $Q$17, $R$17, $Q$18, $R$18,$Q$19,$R$19,$Q$20,$R$20,$Q$21,$R$21,$Q$22,$R$22,$Q$23,$R$23,$Q$24,$R$24), 0)</f>
        <v>0</v>
      </c>
      <c r="K11" s="120">
        <f t="shared" si="1"/>
        <v>0</v>
      </c>
      <c r="L11" s="120">
        <f t="shared" si="2"/>
        <v>0</v>
      </c>
      <c r="M11" s="83">
        <f t="shared" si="4"/>
        <v>0</v>
      </c>
      <c r="N11" s="143" cm="1">
        <f t="array" ref="N11">IFERROR(K11*(1+IFERROR(_xlfn.SWITCH(G11, $Q$10, $S$10, $Q$11, $S$11, $Q$12, $S$12, $Q$13, $S$13, $Q$14, $S$14, $Q$15, $S$15, $Q$16, $S$16, $Q$17, $S$17, $Q$18, $S$18,$Q$19,$S$19,$Q$20,$S$20,$Q$21,$S$21,$Q$22,$S$22,$Q$23,$S$23,$Q$24,$S$24), $S$10))*bp, 0)</f>
        <v>0</v>
      </c>
      <c r="O11" s="83">
        <f t="shared" si="3"/>
        <v>0</v>
      </c>
      <c r="Q11" s="63" t="s">
        <v>22</v>
      </c>
      <c r="R11" s="72">
        <v>0</v>
      </c>
      <c r="S11" s="51">
        <f>isaas</f>
        <v>0.13830000000000001</v>
      </c>
      <c r="U11" t="s">
        <v>60</v>
      </c>
      <c r="V11">
        <f>'Opportunity_Name USD'!$E$6</f>
        <v>0</v>
      </c>
      <c r="W11" s="136">
        <f>SUMIF('Opp Name'!$F:$F,Table142[[#This Row],[Group]],'Opp Name'!$I:$I)</f>
        <v>0</v>
      </c>
      <c r="X11" s="136" t="e">
        <f t="shared" ref="X11:X23" si="5">W11/V11</f>
        <v>#DIV/0!</v>
      </c>
      <c r="Y11" s="136">
        <f>SUMIF('Opp Name'!$F:$F,Table142[[#This Row],[Group]],'Opp Name'!$M:$M)</f>
        <v>0</v>
      </c>
      <c r="Z11" s="136" t="e">
        <f>Y11/V11</f>
        <v>#DIV/0!</v>
      </c>
    </row>
    <row r="12" spans="2:26" ht="14.5" x14ac:dyDescent="0.35">
      <c r="B12" s="29">
        <v>7</v>
      </c>
      <c r="C12" s="30"/>
      <c r="D12" s="30"/>
      <c r="E12" s="31"/>
      <c r="F12" s="130"/>
      <c r="G12" s="114"/>
      <c r="H12" s="139"/>
      <c r="I12" s="140">
        <f t="shared" si="0"/>
        <v>0</v>
      </c>
      <c r="J12" s="118" cm="1">
        <f t="array" ref="J12">IFERROR(_xlfn.SWITCH(G12, $Q$10, $R$10, $Q$11, $R$11, $Q$12, $R$12, $Q$13, $R$13, $Q$14, $R$14, $Q$15, $R$15, $Q$16, $R$16, $Q$17, $R$17, $Q$18, $R$18,$Q$19,$R$19,$Q$20,$R$20,$Q$21,$R$21,$Q$22,$R$22,$Q$23,$R$23,$Q$24,$R$24), 0)</f>
        <v>0</v>
      </c>
      <c r="K12" s="120">
        <f t="shared" si="1"/>
        <v>0</v>
      </c>
      <c r="L12" s="120">
        <f t="shared" si="2"/>
        <v>0</v>
      </c>
      <c r="M12" s="83">
        <f t="shared" si="4"/>
        <v>0</v>
      </c>
      <c r="N12" s="143" cm="1">
        <f t="array" ref="N12">IFERROR(K12*(1+IFERROR(_xlfn.SWITCH(G12, $Q$10, $S$10, $Q$11, $S$11, $Q$12, $S$12, $Q$13, $S$13, $Q$14, $S$14, $Q$15, $S$15, $Q$16, $S$16, $Q$17, $S$17, $Q$18, $S$18,$Q$19,$S$19,$Q$20,$S$20,$Q$21,$S$21,$Q$22,$S$22,$Q$23,$S$23,$Q$24,$S$24), $S$10))*bp, 0)</f>
        <v>0</v>
      </c>
      <c r="O12" s="83">
        <f t="shared" si="3"/>
        <v>0</v>
      </c>
      <c r="Q12" s="64" t="s">
        <v>20</v>
      </c>
      <c r="R12" s="73">
        <v>0</v>
      </c>
      <c r="S12" s="52">
        <f>isaas</f>
        <v>0.13830000000000001</v>
      </c>
      <c r="U12" t="s">
        <v>68</v>
      </c>
      <c r="V12">
        <f>'Opportunity_Name USD'!$E$6</f>
        <v>0</v>
      </c>
      <c r="W12" s="136">
        <f>SUMIF('Opp Name'!$F:$F,Table142[[#This Row],[Group]],'Opp Name'!$I:$I)</f>
        <v>0</v>
      </c>
      <c r="X12" s="136" t="e">
        <f t="shared" si="5"/>
        <v>#DIV/0!</v>
      </c>
      <c r="Y12" s="136">
        <f>SUMIF('Opp Name'!$F:$F,Table142[[#This Row],[Group]],'Opp Name'!$M:$M)</f>
        <v>0</v>
      </c>
      <c r="Z12" s="136" t="e">
        <f>Y12/V12</f>
        <v>#DIV/0!</v>
      </c>
    </row>
    <row r="13" spans="2:26" ht="14.5" x14ac:dyDescent="0.35">
      <c r="B13" s="29">
        <v>8</v>
      </c>
      <c r="C13" s="30"/>
      <c r="D13" s="30"/>
      <c r="E13" s="31"/>
      <c r="F13" s="130"/>
      <c r="G13" s="114"/>
      <c r="H13" s="139"/>
      <c r="I13" s="140">
        <f t="shared" si="0"/>
        <v>0</v>
      </c>
      <c r="J13" s="118" cm="1">
        <f t="array" ref="J13">IFERROR(_xlfn.SWITCH(G13, $Q$10, $R$10, $Q$11, $R$11, $Q$12, $R$12, $Q$13, $R$13, $Q$14, $R$14, $Q$15, $R$15, $Q$16, $R$16, $Q$17, $R$17, $Q$18, $R$18,$Q$19,$R$19,$Q$20,$R$20,$Q$21,$R$21,$Q$22,$R$22,$Q$23,$R$23,$Q$24,$R$24), 0)</f>
        <v>0</v>
      </c>
      <c r="K13" s="120">
        <f t="shared" si="1"/>
        <v>0</v>
      </c>
      <c r="L13" s="120">
        <f t="shared" si="2"/>
        <v>0</v>
      </c>
      <c r="M13" s="83">
        <f t="shared" si="4"/>
        <v>0</v>
      </c>
      <c r="N13" s="143" cm="1">
        <f t="array" ref="N13">IFERROR(K13*(1+IFERROR(_xlfn.SWITCH(G13, $Q$10, $S$10, $Q$11, $S$11, $Q$12, $S$12, $Q$13, $S$13, $Q$14, $S$14, $Q$15, $S$15, $Q$16, $S$16, $Q$17, $S$17, $Q$18, $S$18,$Q$19,$S$19,$Q$20,$S$20,$Q$21,$S$21,$Q$22,$S$22,$Q$23,$S$23,$Q$24,$S$24), $S$10))*bp, 0)</f>
        <v>0</v>
      </c>
      <c r="O13" s="83">
        <f t="shared" si="3"/>
        <v>0</v>
      </c>
      <c r="Q13" s="65" t="s">
        <v>18</v>
      </c>
      <c r="R13" s="74">
        <v>0</v>
      </c>
      <c r="S13" s="53">
        <f>iserv</f>
        <v>7.0099999999999996E-2</v>
      </c>
      <c r="U13" s="1" t="s">
        <v>69</v>
      </c>
      <c r="V13" s="1">
        <f>'Opportunity_Name USD'!$E$6</f>
        <v>0</v>
      </c>
      <c r="W13" s="147">
        <f>SUMIF('Opp Name'!$F:$F,Table142[[#This Row],[Group]],'Opp Name'!$I:$I)</f>
        <v>0</v>
      </c>
      <c r="X13" s="147" t="e">
        <f t="shared" si="5"/>
        <v>#DIV/0!</v>
      </c>
      <c r="Y13" s="147">
        <f>SUMIF('Opp Name'!$F:$F,Table142[[#This Row],[Group]],'Opp Name'!$M:$M)</f>
        <v>0</v>
      </c>
      <c r="Z13" s="136" t="e">
        <f t="shared" ref="Z13:Z21" si="6">Y13/V13</f>
        <v>#DIV/0!</v>
      </c>
    </row>
    <row r="14" spans="2:26" ht="15.65" customHeight="1" x14ac:dyDescent="0.35">
      <c r="B14" s="29">
        <v>9</v>
      </c>
      <c r="C14" s="32"/>
      <c r="D14" s="32"/>
      <c r="E14" s="31"/>
      <c r="F14" s="130"/>
      <c r="G14" s="114"/>
      <c r="H14" s="139"/>
      <c r="I14" s="140">
        <f t="shared" si="0"/>
        <v>0</v>
      </c>
      <c r="J14" s="118" cm="1">
        <f t="array" ref="J14">IFERROR(_xlfn.SWITCH(G14, $Q$10, $R$10, $Q$11, $R$11, $Q$12, $R$12, $Q$13, $R$13, $Q$14, $R$14, $Q$15, $R$15, $Q$16, $R$16, $Q$17, $R$17, $Q$18, $R$18,$Q$19,$R$19,$Q$20,$R$20,$Q$21,$R$21,$Q$22,$R$22,$Q$23,$R$23,$Q$24,$R$24), 0)</f>
        <v>0</v>
      </c>
      <c r="K14" s="120">
        <f t="shared" si="1"/>
        <v>0</v>
      </c>
      <c r="L14" s="120">
        <f t="shared" si="2"/>
        <v>0</v>
      </c>
      <c r="M14" s="83">
        <f t="shared" si="4"/>
        <v>0</v>
      </c>
      <c r="N14" s="143" cm="1">
        <f t="array" ref="N14">IFERROR(K14*(1+IFERROR(_xlfn.SWITCH(G14, $Q$10, $S$10, $Q$11, $S$11, $Q$12, $S$12, $Q$13, $S$13, $Q$14, $S$14, $Q$15, $S$15, $Q$16, $S$16, $Q$17, $S$17, $Q$18, $S$18,$Q$19,$S$19,$Q$20,$S$20,$Q$21,$S$21,$Q$22,$S$22,$Q$23,$S$23,$Q$24,$S$24), $S$10))*bp, 0)</f>
        <v>0</v>
      </c>
      <c r="O14" s="83">
        <f t="shared" si="3"/>
        <v>0</v>
      </c>
      <c r="Q14" s="102" t="s">
        <v>58</v>
      </c>
      <c r="R14" s="103">
        <v>0</v>
      </c>
      <c r="S14" s="104">
        <f>isaas</f>
        <v>0.13830000000000001</v>
      </c>
      <c r="U14" s="1" t="s">
        <v>70</v>
      </c>
      <c r="V14" s="1">
        <f>'Opportunity_Name USD'!$E$6</f>
        <v>0</v>
      </c>
      <c r="W14" s="147">
        <f>SUMIF('Opp Name'!$F:$F,Table142[[#This Row],[Group]],'Opp Name'!$I:$I)</f>
        <v>0</v>
      </c>
      <c r="X14" s="147" t="e">
        <f t="shared" si="5"/>
        <v>#DIV/0!</v>
      </c>
      <c r="Y14" s="147">
        <f>SUMIF('Opp Name'!$F:$F,Table142[[#This Row],[Group]],'Opp Name'!$M:$M)</f>
        <v>0</v>
      </c>
      <c r="Z14" s="136" t="e">
        <f t="shared" si="6"/>
        <v>#DIV/0!</v>
      </c>
    </row>
    <row r="15" spans="2:26" ht="15.65" customHeight="1" x14ac:dyDescent="0.35">
      <c r="B15" s="29">
        <v>10</v>
      </c>
      <c r="C15" s="32"/>
      <c r="D15" s="32"/>
      <c r="E15" s="31"/>
      <c r="F15" s="130"/>
      <c r="G15" s="114"/>
      <c r="H15" s="139"/>
      <c r="I15" s="140">
        <f t="shared" si="0"/>
        <v>0</v>
      </c>
      <c r="J15" s="118" cm="1">
        <f t="array" ref="J15">IFERROR(_xlfn.SWITCH(G15, $Q$10, $R$10, $Q$11, $R$11, $Q$12, $R$12, $Q$13, $R$13, $Q$14, $R$14, $Q$15, $R$15, $Q$16, $R$16, $Q$17, $R$17, $Q$18, $R$18,$Q$19,$R$19,$Q$20,$R$20,$Q$21,$R$21,$Q$22,$R$22,$Q$23,$R$23,$Q$24,$R$24), 0)</f>
        <v>0</v>
      </c>
      <c r="K15" s="120">
        <f t="shared" si="1"/>
        <v>0</v>
      </c>
      <c r="L15" s="120">
        <f t="shared" si="2"/>
        <v>0</v>
      </c>
      <c r="M15" s="83">
        <f t="shared" si="4"/>
        <v>0</v>
      </c>
      <c r="N15" s="143" cm="1">
        <f t="array" ref="N15">IFERROR(K15*(1+IFERROR(_xlfn.SWITCH(G15, $Q$10, $S$10, $Q$11, $S$11, $Q$12, $S$12, $Q$13, $S$13, $Q$14, $S$14, $Q$15, $S$15, $Q$16, $S$16, $Q$17, $S$17, $Q$18, $S$18,$Q$19,$S$19,$Q$20,$S$20,$Q$21,$S$21,$Q$22,$S$22,$Q$23,$S$23,$Q$24,$S$24), $S$10))*bp, 0)</f>
        <v>0</v>
      </c>
      <c r="O15" s="83">
        <f t="shared" si="3"/>
        <v>0</v>
      </c>
      <c r="Q15" s="96" t="s">
        <v>60</v>
      </c>
      <c r="R15" s="97">
        <v>0</v>
      </c>
      <c r="S15" s="98">
        <f>isaas</f>
        <v>0.13830000000000001</v>
      </c>
      <c r="U15" s="1" t="s">
        <v>71</v>
      </c>
      <c r="V15" s="1">
        <f>'Opportunity_Name USD'!$E$6</f>
        <v>0</v>
      </c>
      <c r="W15" s="147">
        <f>SUMIF('Opp Name'!$F:$F,Table142[[#This Row],[Group]],'Opp Name'!$I:$I)</f>
        <v>0</v>
      </c>
      <c r="X15" s="147" t="e">
        <f t="shared" si="5"/>
        <v>#DIV/0!</v>
      </c>
      <c r="Y15" s="147">
        <f>SUMIF('Opp Name'!$F:$F,Table142[[#This Row],[Group]],'Opp Name'!$M:$M)</f>
        <v>0</v>
      </c>
      <c r="Z15" s="136" t="e">
        <f t="shared" si="6"/>
        <v>#DIV/0!</v>
      </c>
    </row>
    <row r="16" spans="2:26" ht="14.5" x14ac:dyDescent="0.35">
      <c r="B16" s="29">
        <v>11</v>
      </c>
      <c r="C16" s="33"/>
      <c r="D16" s="33"/>
      <c r="E16" s="34"/>
      <c r="F16" s="131"/>
      <c r="G16" s="114"/>
      <c r="H16" s="139"/>
      <c r="I16" s="140">
        <f t="shared" si="0"/>
        <v>0</v>
      </c>
      <c r="J16" s="118" cm="1">
        <f t="array" ref="J16">IFERROR(_xlfn.SWITCH(G16, $Q$10, $R$10, $Q$11, $R$11, $Q$12, $R$12, $Q$13, $R$13, $Q$14, $R$14, $Q$15, $R$15, $Q$16, $R$16, $Q$17, $R$17, $Q$18, $R$18,$Q$19,$R$19,$Q$20,$R$20,$Q$21,$R$21,$Q$22,$R$22,$Q$23,$R$23,$Q$24,$R$24), 0)</f>
        <v>0</v>
      </c>
      <c r="K16" s="120">
        <f t="shared" si="1"/>
        <v>0</v>
      </c>
      <c r="L16" s="120">
        <f t="shared" si="2"/>
        <v>0</v>
      </c>
      <c r="M16" s="83">
        <f t="shared" si="4"/>
        <v>0</v>
      </c>
      <c r="N16" s="143" cm="1">
        <f t="array" ref="N16">IFERROR(K16*(1+IFERROR(_xlfn.SWITCH(G16, $Q$10, $S$10, $Q$11, $S$11, $Q$12, $S$12, $Q$13, $S$13, $Q$14, $S$14, $Q$15, $S$15, $Q$16, $S$16, $Q$17, $S$17, $Q$18, $S$18,$Q$19,$S$19,$Q$20,$S$20,$Q$21,$S$21,$Q$22,$S$22,$Q$23,$S$23,$Q$24,$S$24), $S$10))*bp, 0)</f>
        <v>0</v>
      </c>
      <c r="O16" s="83">
        <f t="shared" si="3"/>
        <v>0</v>
      </c>
      <c r="Q16" s="99" t="s">
        <v>59</v>
      </c>
      <c r="R16" s="100">
        <v>0</v>
      </c>
      <c r="S16" s="101">
        <f>isaas</f>
        <v>0.13830000000000001</v>
      </c>
      <c r="U16" s="1" t="s">
        <v>72</v>
      </c>
      <c r="V16" s="1">
        <f>'Opportunity_Name USD'!$E$6</f>
        <v>0</v>
      </c>
      <c r="W16" s="147">
        <f>SUMIF('Opp Name'!$F:$F,Table142[[#This Row],[Group]],'Opp Name'!$I:$I)</f>
        <v>0</v>
      </c>
      <c r="X16" s="147" t="e">
        <f t="shared" si="5"/>
        <v>#DIV/0!</v>
      </c>
      <c r="Y16" s="147">
        <f>SUMIF('Opp Name'!$F:$F,Table142[[#This Row],[Group]],'Opp Name'!$M:$M)</f>
        <v>0</v>
      </c>
      <c r="Z16" s="136" t="e">
        <f t="shared" si="6"/>
        <v>#DIV/0!</v>
      </c>
    </row>
    <row r="17" spans="2:26" ht="14.5" x14ac:dyDescent="0.35">
      <c r="B17" s="29">
        <v>12</v>
      </c>
      <c r="C17" s="33"/>
      <c r="D17" s="33"/>
      <c r="E17" s="34"/>
      <c r="F17" s="131"/>
      <c r="G17" s="114"/>
      <c r="H17" s="139"/>
      <c r="I17" s="140">
        <f t="shared" si="0"/>
        <v>0</v>
      </c>
      <c r="J17" s="118" cm="1">
        <f t="array" ref="J17">IFERROR(_xlfn.SWITCH(G17, $Q$10, $R$10, $Q$11, $R$11, $Q$12, $R$12, $Q$13, $R$13, $Q$14, $R$14, $Q$15, $R$15, $Q$16, $R$16, $Q$17, $R$17, $Q$18, $R$18,$Q$19,$R$19,$Q$20,$R$20,$Q$21,$R$21,$Q$22,$R$22,$Q$23,$R$23,$Q$24,$R$24), 0)</f>
        <v>0</v>
      </c>
      <c r="K17" s="120">
        <f t="shared" si="1"/>
        <v>0</v>
      </c>
      <c r="L17" s="120">
        <f t="shared" si="2"/>
        <v>0</v>
      </c>
      <c r="M17" s="83">
        <f t="shared" si="4"/>
        <v>0</v>
      </c>
      <c r="N17" s="143" cm="1">
        <f t="array" ref="N17">IFERROR(K17*(1+IFERROR(_xlfn.SWITCH(G17, $Q$10, $S$10, $Q$11, $S$11, $Q$12, $S$12, $Q$13, $S$13, $Q$14, $S$14, $Q$15, $S$15, $Q$16, $S$16, $Q$17, $S$17, $Q$18, $S$18,$Q$19,$S$19,$Q$20,$S$20,$Q$21,$S$21,$Q$22,$S$22,$Q$23,$S$23,$Q$24,$S$24), $S$10))*bp, 0)</f>
        <v>0</v>
      </c>
      <c r="O17" s="83">
        <f t="shared" si="3"/>
        <v>0</v>
      </c>
      <c r="Q17" s="66" t="s">
        <v>23</v>
      </c>
      <c r="R17" s="75">
        <v>0</v>
      </c>
      <c r="S17" s="54">
        <f>isaas</f>
        <v>0.13830000000000001</v>
      </c>
      <c r="U17" s="1" t="s">
        <v>73</v>
      </c>
      <c r="V17" s="1">
        <f>'Opportunity_Name USD'!$E$6</f>
        <v>0</v>
      </c>
      <c r="W17" s="147">
        <f>SUMIF('Opp Name'!$F:$F,Table142[[#This Row],[Group]],'Opp Name'!$I:$I)</f>
        <v>0</v>
      </c>
      <c r="X17" s="147" t="e">
        <f t="shared" si="5"/>
        <v>#DIV/0!</v>
      </c>
      <c r="Y17" s="147">
        <f>SUMIF('Opp Name'!$F:$F,Table142[[#This Row],[Group]],'Opp Name'!$M:$M)</f>
        <v>0</v>
      </c>
      <c r="Z17" s="136" t="e">
        <f t="shared" si="6"/>
        <v>#DIV/0!</v>
      </c>
    </row>
    <row r="18" spans="2:26" ht="14.5" x14ac:dyDescent="0.35">
      <c r="B18" s="29">
        <v>13</v>
      </c>
      <c r="C18" s="33"/>
      <c r="D18" s="33"/>
      <c r="E18" s="34"/>
      <c r="F18" s="131"/>
      <c r="G18" s="114"/>
      <c r="H18" s="139"/>
      <c r="I18" s="140">
        <f t="shared" si="0"/>
        <v>0</v>
      </c>
      <c r="J18" s="118" cm="1">
        <f t="array" ref="J18">IFERROR(_xlfn.SWITCH(G18, $Q$10, $R$10, $Q$11, $R$11, $Q$12, $R$12, $Q$13, $R$13, $Q$14, $R$14, $Q$15, $R$15, $Q$16, $R$16, $Q$17, $R$17, $Q$18, $R$18,$Q$19,$R$19,$Q$20,$R$20,$Q$21,$R$21,$Q$22,$R$22,$Q$23,$R$23,$Q$24,$R$24), 0)</f>
        <v>0</v>
      </c>
      <c r="K18" s="120">
        <f t="shared" si="1"/>
        <v>0</v>
      </c>
      <c r="L18" s="120">
        <f t="shared" si="2"/>
        <v>0</v>
      </c>
      <c r="M18" s="83">
        <f t="shared" si="4"/>
        <v>0</v>
      </c>
      <c r="N18" s="143" cm="1">
        <f t="array" ref="N18">IFERROR(K18*(1+IFERROR(_xlfn.SWITCH(G18, $Q$10, $S$10, $Q$11, $S$11, $Q$12, $S$12, $Q$13, $S$13, $Q$14, $S$14, $Q$15, $S$15, $Q$16, $S$16, $Q$17, $S$17, $Q$18, $S$18,$Q$19,$S$19,$Q$20,$S$20,$Q$21,$S$21,$Q$22,$S$22,$Q$23,$S$23,$Q$24,$S$24), $S$10))*bp, 0)</f>
        <v>0</v>
      </c>
      <c r="O18" s="83">
        <f t="shared" si="3"/>
        <v>0</v>
      </c>
      <c r="Q18" s="67" t="s">
        <v>24</v>
      </c>
      <c r="R18" s="76">
        <v>0</v>
      </c>
      <c r="S18" s="55">
        <f>iserv</f>
        <v>7.0099999999999996E-2</v>
      </c>
      <c r="U18" s="1" t="s">
        <v>74</v>
      </c>
      <c r="V18" s="1">
        <f>'Opportunity_Name USD'!$E$6</f>
        <v>0</v>
      </c>
      <c r="W18" s="147">
        <f>SUMIF('Opp Name'!$F:$F,Table142[[#This Row],[Group]],'Opp Name'!$I:$I)</f>
        <v>0</v>
      </c>
      <c r="X18" s="147" t="e">
        <f t="shared" si="5"/>
        <v>#DIV/0!</v>
      </c>
      <c r="Y18" s="147">
        <f>SUMIF('Opp Name'!$F:$F,Table142[[#This Row],[Group]],'Opp Name'!$M:$M)</f>
        <v>0</v>
      </c>
      <c r="Z18" s="136" t="e">
        <f t="shared" si="6"/>
        <v>#DIV/0!</v>
      </c>
    </row>
    <row r="19" spans="2:26" ht="14.5" x14ac:dyDescent="0.35">
      <c r="B19" s="29">
        <v>14</v>
      </c>
      <c r="C19" s="33"/>
      <c r="D19" s="33"/>
      <c r="E19" s="34"/>
      <c r="F19" s="131"/>
      <c r="G19" s="114"/>
      <c r="H19" s="139"/>
      <c r="I19" s="140">
        <f t="shared" si="0"/>
        <v>0</v>
      </c>
      <c r="J19" s="118" cm="1">
        <f t="array" ref="J19">IFERROR(_xlfn.SWITCH(G19, $Q$10, $R$10, $Q$11, $R$11, $Q$12, $R$12, $Q$13, $R$13, $Q$14, $R$14, $Q$15, $R$15, $Q$16, $R$16, $Q$17, $R$17, $Q$18, $R$18,$Q$19,$R$19,$Q$20,$R$20,$Q$21,$R$21,$Q$22,$R$22,$Q$23,$R$23,$Q$24,$R$24), 0)</f>
        <v>0</v>
      </c>
      <c r="K19" s="120">
        <f t="shared" si="1"/>
        <v>0</v>
      </c>
      <c r="L19" s="120">
        <f t="shared" si="2"/>
        <v>0</v>
      </c>
      <c r="M19" s="83">
        <f t="shared" si="4"/>
        <v>0</v>
      </c>
      <c r="N19" s="143" cm="1">
        <f t="array" ref="N19">IFERROR(K19*(1+IFERROR(_xlfn.SWITCH(G19, $Q$10, $S$10, $Q$11, $S$11, $Q$12, $S$12, $Q$13, $S$13, $Q$14, $S$14, $Q$15, $S$15, $Q$16, $S$16, $Q$17, $S$17, $Q$18, $S$18,$Q$19,$S$19,$Q$20,$S$20,$Q$21,$S$21,$Q$22,$S$22,$Q$23,$S$23,$Q$24,$S$24), $S$10))*bp, 0)</f>
        <v>0</v>
      </c>
      <c r="O19" s="83">
        <f t="shared" si="3"/>
        <v>0</v>
      </c>
      <c r="Q19" s="68" t="s">
        <v>56</v>
      </c>
      <c r="R19" s="77">
        <v>0</v>
      </c>
      <c r="S19" s="56">
        <f>iconn</f>
        <v>0.11</v>
      </c>
      <c r="U19" s="1" t="s">
        <v>62</v>
      </c>
      <c r="V19" s="1">
        <f>'Opportunity_Name USD'!$E$6</f>
        <v>0</v>
      </c>
      <c r="W19" s="147">
        <f>SUMIF('Opp Name'!$F:$F,Table142[[#This Row],[Group]],'Opp Name'!$I:$I)</f>
        <v>0</v>
      </c>
      <c r="X19" s="147" t="e">
        <f t="shared" si="5"/>
        <v>#DIV/0!</v>
      </c>
      <c r="Y19" s="147">
        <f>SUMIF('Opp Name'!$F:$F,Table142[[#This Row],[Group]],'Opp Name'!$M:$M)</f>
        <v>0</v>
      </c>
      <c r="Z19" s="136" t="e">
        <f t="shared" si="6"/>
        <v>#DIV/0!</v>
      </c>
    </row>
    <row r="20" spans="2:26" ht="14.5" x14ac:dyDescent="0.35">
      <c r="B20" s="29">
        <v>15</v>
      </c>
      <c r="C20" s="33"/>
      <c r="D20" s="33"/>
      <c r="E20" s="34"/>
      <c r="F20" s="131"/>
      <c r="G20" s="114"/>
      <c r="H20" s="139"/>
      <c r="I20" s="140">
        <f t="shared" si="0"/>
        <v>0</v>
      </c>
      <c r="J20" s="118" cm="1">
        <f t="array" ref="J20">IFERROR(_xlfn.SWITCH(G20, $Q$10, $R$10, $Q$11, $R$11, $Q$12, $R$12, $Q$13, $R$13, $Q$14, $R$14, $Q$15, $R$15, $Q$16, $R$16, $Q$17, $R$17, $Q$18, $R$18,$Q$19,$R$19,$Q$20,$R$20,$Q$21,$R$21,$Q$22,$R$22,$Q$23,$R$23,$Q$24,$R$24), 0)</f>
        <v>0</v>
      </c>
      <c r="K20" s="120">
        <f t="shared" si="1"/>
        <v>0</v>
      </c>
      <c r="L20" s="120">
        <f t="shared" si="2"/>
        <v>0</v>
      </c>
      <c r="M20" s="83">
        <f t="shared" si="4"/>
        <v>0</v>
      </c>
      <c r="N20" s="143" cm="1">
        <f t="array" ref="N20">IFERROR(K20*(1+IFERROR(_xlfn.SWITCH(G20, $Q$10, $S$10, $Q$11, $S$11, $Q$12, $S$12, $Q$13, $S$13, $Q$14, $S$14, $Q$15, $S$15, $Q$16, $S$16, $Q$17, $S$17, $Q$18, $S$18,$Q$19,$S$19,$Q$20,$S$20,$Q$21,$S$21,$Q$22,$S$22,$Q$23,$S$23,$Q$24,$S$24), $S$10))*bp, 0)</f>
        <v>0</v>
      </c>
      <c r="O20" s="83">
        <f t="shared" si="3"/>
        <v>0</v>
      </c>
      <c r="Q20" s="69" t="s">
        <v>57</v>
      </c>
      <c r="R20" s="78">
        <v>0</v>
      </c>
      <c r="S20" s="57">
        <f>iconn</f>
        <v>0.11</v>
      </c>
      <c r="U20" s="1" t="s">
        <v>59</v>
      </c>
      <c r="V20" s="1">
        <f>'Opportunity_Name USD'!$E$6</f>
        <v>0</v>
      </c>
      <c r="W20" s="147">
        <f>SUMIF('Opp Name'!$F:$F,Table142[[#This Row],[Group]],'Opp Name'!$I:$I)</f>
        <v>0</v>
      </c>
      <c r="X20" s="147" t="e">
        <f t="shared" si="5"/>
        <v>#DIV/0!</v>
      </c>
      <c r="Y20" s="147">
        <f>SUMIF('Opp Name'!$F:$F,Table142[[#This Row],[Group]],'Opp Name'!$M:$M)</f>
        <v>0</v>
      </c>
      <c r="Z20" s="136" t="e">
        <f t="shared" si="6"/>
        <v>#DIV/0!</v>
      </c>
    </row>
    <row r="21" spans="2:26" ht="14.5" x14ac:dyDescent="0.35">
      <c r="B21" s="29">
        <v>16</v>
      </c>
      <c r="C21" s="33"/>
      <c r="D21" s="33"/>
      <c r="E21" s="34"/>
      <c r="F21" s="131"/>
      <c r="G21" s="114"/>
      <c r="H21" s="139"/>
      <c r="I21" s="140">
        <f t="shared" si="0"/>
        <v>0</v>
      </c>
      <c r="J21" s="118" cm="1">
        <f t="array" ref="J21">IFERROR(_xlfn.SWITCH(G21, $Q$10, $R$10, $Q$11, $R$11, $Q$12, $R$12, $Q$13, $R$13, $Q$14, $R$14, $Q$15, $R$15, $Q$16, $R$16, $Q$17, $R$17, $Q$18, $R$18,$Q$19,$R$19,$Q$20,$R$20,$Q$21,$R$21,$Q$22,$R$22,$Q$23,$R$23,$Q$24,$R$24), 0)</f>
        <v>0</v>
      </c>
      <c r="K21" s="120">
        <f t="shared" si="1"/>
        <v>0</v>
      </c>
      <c r="L21" s="120">
        <f t="shared" si="2"/>
        <v>0</v>
      </c>
      <c r="M21" s="83">
        <f t="shared" si="4"/>
        <v>0</v>
      </c>
      <c r="N21" s="143" cm="1">
        <f t="array" ref="N21">IFERROR(K21*(1+IFERROR(_xlfn.SWITCH(G21, $Q$10, $S$10, $Q$11, $S$11, $Q$12, $S$12, $Q$13, $S$13, $Q$14, $S$14, $Q$15, $S$15, $Q$16, $S$16, $Q$17, $S$17, $Q$18, $S$18,$Q$19,$S$19,$Q$20,$S$20,$Q$21,$S$21,$Q$22,$S$22,$Q$23,$S$23,$Q$24,$S$24), $S$10))*bp, 0)</f>
        <v>0</v>
      </c>
      <c r="O21" s="83">
        <f t="shared" si="3"/>
        <v>0</v>
      </c>
      <c r="Q21" s="148" t="s">
        <v>75</v>
      </c>
      <c r="R21" s="149">
        <v>0</v>
      </c>
      <c r="S21" s="150">
        <f>isaas</f>
        <v>0.13830000000000001</v>
      </c>
      <c r="T21" s="1" t="s">
        <v>80</v>
      </c>
      <c r="V21" s="1">
        <f>'Opportunity_Name USD'!$E$6</f>
        <v>0</v>
      </c>
      <c r="W21" s="147">
        <f>SUMIF('Opp Name'!$F:$F,Table142[[#This Row],[Group]],'Opp Name'!$I:$I)</f>
        <v>0</v>
      </c>
      <c r="X21" s="147" t="e">
        <f t="shared" si="5"/>
        <v>#DIV/0!</v>
      </c>
      <c r="Y21" s="147">
        <f>SUMIF('Opp Name'!$F:$F,Table142[[#This Row],[Group]],'Opp Name'!$M:$M)</f>
        <v>0</v>
      </c>
      <c r="Z21" s="136" t="e">
        <f t="shared" si="6"/>
        <v>#DIV/0!</v>
      </c>
    </row>
    <row r="22" spans="2:26" ht="14.5" x14ac:dyDescent="0.35">
      <c r="B22" s="29">
        <v>17</v>
      </c>
      <c r="C22" s="33"/>
      <c r="D22" s="33"/>
      <c r="E22" s="34"/>
      <c r="F22" s="131"/>
      <c r="G22" s="114"/>
      <c r="H22" s="139"/>
      <c r="I22" s="140">
        <f t="shared" si="0"/>
        <v>0</v>
      </c>
      <c r="J22" s="118" cm="1">
        <f t="array" ref="J22">IFERROR(_xlfn.SWITCH(G22, $Q$10, $R$10, $Q$11, $R$11, $Q$12, $R$12, $Q$13, $R$13, $Q$14, $R$14, $Q$15, $R$15, $Q$16, $R$16, $Q$17, $R$17, $Q$18, $R$18,$Q$19,$R$19,$Q$20,$R$20,$Q$21,$R$21,$Q$22,$R$22,$Q$23,$R$23,$Q$24,$R$24), 0)</f>
        <v>0</v>
      </c>
      <c r="K22" s="120">
        <f t="shared" si="1"/>
        <v>0</v>
      </c>
      <c r="L22" s="120">
        <f t="shared" si="2"/>
        <v>0</v>
      </c>
      <c r="M22" s="83">
        <f t="shared" si="4"/>
        <v>0</v>
      </c>
      <c r="N22" s="143" cm="1">
        <f t="array" ref="N22">IFERROR(K22*(1+IFERROR(_xlfn.SWITCH(G22, $Q$10, $S$10, $Q$11, $S$11, $Q$12, $S$12, $Q$13, $S$13, $Q$14, $S$14, $Q$15, $S$15, $Q$16, $S$16, $Q$17, $S$17, $Q$18, $S$18,$Q$19,$S$19,$Q$20,$S$20,$Q$21,$S$21,$Q$22,$S$22,$Q$23,$S$23,$Q$24,$S$24), $S$10))*bp, 0)</f>
        <v>0</v>
      </c>
      <c r="O22" s="83">
        <f t="shared" si="3"/>
        <v>0</v>
      </c>
      <c r="Q22" s="151" t="s">
        <v>76</v>
      </c>
      <c r="R22" s="152">
        <v>0</v>
      </c>
      <c r="S22" s="153">
        <f>isaas</f>
        <v>0.13830000000000001</v>
      </c>
      <c r="T22" s="1" t="s">
        <v>79</v>
      </c>
      <c r="V22" s="1">
        <f>'Opportunity_Name USD'!$E$6</f>
        <v>0</v>
      </c>
      <c r="W22" s="147">
        <f>SUMIF('Opp Name'!$F:$F,Table142[[#This Row],[Group]],'Opp Name'!$I:$I)</f>
        <v>0</v>
      </c>
      <c r="X22" s="147" t="e">
        <f t="shared" si="5"/>
        <v>#DIV/0!</v>
      </c>
      <c r="Y22" s="147">
        <f>SUMIF('Opp Name'!$F:$F,Table142[[#This Row],[Group]],'Opp Name'!$M:$M)</f>
        <v>0</v>
      </c>
      <c r="Z22" s="136" t="e">
        <f>Y22/V22</f>
        <v>#DIV/0!</v>
      </c>
    </row>
    <row r="23" spans="2:26" ht="14.5" x14ac:dyDescent="0.35">
      <c r="B23" s="29">
        <v>18</v>
      </c>
      <c r="C23" s="33"/>
      <c r="D23" s="33"/>
      <c r="E23" s="34"/>
      <c r="F23" s="131"/>
      <c r="G23" s="114"/>
      <c r="H23" s="139"/>
      <c r="I23" s="140">
        <f t="shared" si="0"/>
        <v>0</v>
      </c>
      <c r="J23" s="118" cm="1">
        <f t="array" ref="J23">IFERROR(_xlfn.SWITCH(G23, $Q$10, $R$10, $Q$11, $R$11, $Q$12, $R$12, $Q$13, $R$13, $Q$14, $R$14, $Q$15, $R$15, $Q$16, $R$16, $Q$17, $R$17, $Q$18, $R$18,$Q$19,$R$19,$Q$20,$R$20,$Q$21,$R$21,$Q$22,$R$22,$Q$23,$R$23,$Q$24,$R$24), 0)</f>
        <v>0</v>
      </c>
      <c r="K23" s="120">
        <f t="shared" si="1"/>
        <v>0</v>
      </c>
      <c r="L23" s="120">
        <f t="shared" si="2"/>
        <v>0</v>
      </c>
      <c r="M23" s="83">
        <f t="shared" si="4"/>
        <v>0</v>
      </c>
      <c r="N23" s="143" cm="1">
        <f t="array" ref="N23">IFERROR(K23*(1+IFERROR(_xlfn.SWITCH(G23, $Q$10, $S$10, $Q$11, $S$11, $Q$12, $S$12, $Q$13, $S$13, $Q$14, $S$14, $Q$15, $S$15, $Q$16, $S$16, $Q$17, $S$17, $Q$18, $S$18,$Q$19,$S$19,$Q$20,$S$20,$Q$21,$S$21,$Q$22,$S$22,$Q$23,$S$23,$Q$24,$S$24), $S$10))*bp, 0)</f>
        <v>0</v>
      </c>
      <c r="O23" s="83">
        <f t="shared" si="3"/>
        <v>0</v>
      </c>
      <c r="Q23" s="154" t="s">
        <v>77</v>
      </c>
      <c r="R23" s="155">
        <v>0</v>
      </c>
      <c r="S23" s="156">
        <f>isaas</f>
        <v>0.13830000000000001</v>
      </c>
      <c r="T23" s="1" t="s">
        <v>78</v>
      </c>
      <c r="V23" s="1">
        <f>'Opportunity_Name USD'!$E$6</f>
        <v>0</v>
      </c>
      <c r="W23" s="147">
        <f>SUMIF('Opp Name'!$F:$F,Table142[[#This Row],[Group]],'Opp Name'!$I:$I)</f>
        <v>0</v>
      </c>
      <c r="X23" s="147" t="e">
        <f t="shared" si="5"/>
        <v>#DIV/0!</v>
      </c>
      <c r="Y23" s="147">
        <f>SUMIF('Opp Name'!$F:$F,Table142[[#This Row],[Group]],'Opp Name'!$M:$M)</f>
        <v>0</v>
      </c>
      <c r="Z23" s="136" t="e">
        <f t="shared" ref="Z23" si="7">Y23/V23</f>
        <v>#DIV/0!</v>
      </c>
    </row>
    <row r="24" spans="2:26" ht="15" thickBot="1" x14ac:dyDescent="0.4">
      <c r="B24" s="29">
        <v>19</v>
      </c>
      <c r="C24" s="33"/>
      <c r="D24" s="33"/>
      <c r="E24" s="34"/>
      <c r="F24" s="131"/>
      <c r="G24" s="114"/>
      <c r="H24" s="139"/>
      <c r="I24" s="140">
        <f t="shared" si="0"/>
        <v>0</v>
      </c>
      <c r="J24" s="118" cm="1">
        <f t="array" ref="J24">IFERROR(_xlfn.SWITCH(G24, $Q$10, $R$10, $Q$11, $R$11, $Q$12, $R$12, $Q$13, $R$13, $Q$14, $R$14, $Q$15, $R$15, $Q$16, $R$16, $Q$17, $R$17, $Q$18, $R$18,$Q$19,$R$19,$Q$20,$R$20,$Q$21,$R$21,$Q$22,$R$22,$Q$23,$R$23,$Q$24,$R$24), 0)</f>
        <v>0</v>
      </c>
      <c r="K24" s="120">
        <f t="shared" si="1"/>
        <v>0</v>
      </c>
      <c r="L24" s="120">
        <f t="shared" si="2"/>
        <v>0</v>
      </c>
      <c r="M24" s="83">
        <f t="shared" si="4"/>
        <v>0</v>
      </c>
      <c r="N24" s="143" cm="1">
        <f t="array" ref="N24">IFERROR(K24*(1+IFERROR(_xlfn.SWITCH(G24, $Q$10, $S$10, $Q$11, $S$11, $Q$12, $S$12, $Q$13, $S$13, $Q$14, $S$14, $Q$15, $S$15, $Q$16, $S$16, $Q$17, $S$17, $Q$18, $S$18,$Q$19,$S$19,$Q$20,$S$20,$Q$21,$S$21,$Q$22,$S$22,$Q$23,$S$23,$Q$24,$S$24), $S$10))*bp, 0)</f>
        <v>0</v>
      </c>
      <c r="O24" s="83">
        <f t="shared" si="3"/>
        <v>0</v>
      </c>
      <c r="Q24" s="70"/>
      <c r="R24" s="79">
        <v>0</v>
      </c>
      <c r="S24" s="58">
        <f>isaas</f>
        <v>0.13830000000000001</v>
      </c>
      <c r="U24" s="145" t="s">
        <v>67</v>
      </c>
      <c r="V24" s="145"/>
      <c r="W24" s="146">
        <f>SUBTOTAL(109,Table142[List Price BRL])</f>
        <v>0</v>
      </c>
      <c r="X24" s="146"/>
      <c r="Y24" s="146">
        <f>SUBTOTAL(109,Table142[Discounted Price BRL])</f>
        <v>0</v>
      </c>
      <c r="Z24" s="146"/>
    </row>
    <row r="25" spans="2:26" x14ac:dyDescent="0.35">
      <c r="B25" s="29">
        <v>20</v>
      </c>
      <c r="C25" s="33"/>
      <c r="D25" s="33"/>
      <c r="E25" s="34"/>
      <c r="F25" s="131"/>
      <c r="G25" s="114"/>
      <c r="H25" s="139"/>
      <c r="I25" s="140">
        <f t="shared" si="0"/>
        <v>0</v>
      </c>
      <c r="J25" s="118" cm="1">
        <f t="array" ref="J25">IFERROR(_xlfn.SWITCH(G25, $Q$10, $R$10, $Q$11, $R$11, $Q$12, $R$12, $Q$13, $R$13, $Q$14, $R$14, $Q$15, $R$15, $Q$16, $R$16, $Q$17, $R$17, $Q$18, $R$18,$Q$19,$R$19,$Q$20,$R$20,$Q$21,$R$21,$Q$22,$R$22,$Q$23,$R$23,$Q$24,$R$24), 0)</f>
        <v>0</v>
      </c>
      <c r="K25" s="120">
        <f t="shared" si="1"/>
        <v>0</v>
      </c>
      <c r="L25" s="120">
        <f t="shared" si="2"/>
        <v>0</v>
      </c>
      <c r="M25" s="83">
        <f t="shared" si="4"/>
        <v>0</v>
      </c>
      <c r="N25" s="143" cm="1">
        <f t="array" ref="N25">IFERROR(K25*(1+IFERROR(_xlfn.SWITCH(G25, $Q$10, $S$10, $Q$11, $S$11, $Q$12, $S$12, $Q$13, $S$13, $Q$14, $S$14, $Q$15, $S$15, $Q$16, $S$16, $Q$17, $S$17, $Q$18, $S$18,$Q$19,$S$19,$Q$20,$S$20,$Q$21,$S$21,$Q$22,$S$22,$Q$23,$S$23,$Q$24,$S$24), $S$10))*bp, 0)</f>
        <v>0</v>
      </c>
      <c r="O25" s="83">
        <f t="shared" si="3"/>
        <v>0</v>
      </c>
    </row>
    <row r="26" spans="2:26" ht="13.5" thickBot="1" x14ac:dyDescent="0.4">
      <c r="B26" s="35">
        <v>21</v>
      </c>
      <c r="C26" s="36"/>
      <c r="D26" s="36"/>
      <c r="E26" s="37"/>
      <c r="F26" s="132"/>
      <c r="G26" s="115"/>
      <c r="H26" s="141"/>
      <c r="I26" s="142">
        <f t="shared" si="0"/>
        <v>0</v>
      </c>
      <c r="J26" s="124" cm="1">
        <f t="array" ref="J26">IFERROR(_xlfn.SWITCH(G26, $Q$10, $R$10, $Q$11, $R$11, $Q$12, $R$12, $Q$13, $R$13, $Q$14, $R$14, $Q$15, $R$15, $Q$16, $R$16, $Q$17, $R$17, $Q$18, $R$18,$Q$19,$R$19,$Q$20,$R$20,$Q$21,$R$21,$Q$22,$R$22,$Q$23,$R$23,$Q$24,$R$24), 0)</f>
        <v>0</v>
      </c>
      <c r="K26" s="126">
        <f t="shared" si="1"/>
        <v>0</v>
      </c>
      <c r="L26" s="126">
        <f t="shared" si="2"/>
        <v>0</v>
      </c>
      <c r="M26" s="84">
        <f t="shared" si="4"/>
        <v>0</v>
      </c>
      <c r="N26" s="144" cm="1">
        <f t="array" ref="N26">IFERROR(K26*(1+IFERROR(_xlfn.SWITCH(G26, $Q$10, $S$10, $Q$11, $S$11, $Q$12, $S$12, $Q$13, $S$13, $Q$14, $S$14, $Q$15, $S$15, $Q$16, $S$16, $Q$17, $S$17, $Q$18, $S$18,$Q$19,$S$19,$Q$20,$S$20,$Q$21,$S$21,$Q$22,$S$22,$Q$23,$S$23,$Q$24,$S$24), $S$10))*bp, 0)</f>
        <v>0</v>
      </c>
      <c r="O26" s="84">
        <f t="shared" si="3"/>
        <v>0</v>
      </c>
      <c r="Q26" s="2"/>
    </row>
    <row r="27" spans="2:26" x14ac:dyDescent="0.35">
      <c r="C27" s="6"/>
      <c r="D27" s="6"/>
      <c r="E27" s="8"/>
      <c r="F27" s="8"/>
      <c r="G27" s="8"/>
      <c r="H27" s="8"/>
      <c r="I27" s="81">
        <f>SUM(I6:I26)</f>
        <v>0</v>
      </c>
      <c r="J27" s="8"/>
      <c r="K27" s="8"/>
      <c r="L27" s="95">
        <f>SUM(L6:L26)</f>
        <v>0</v>
      </c>
      <c r="M27" s="81">
        <f>SUM(M6:M26)</f>
        <v>0</v>
      </c>
      <c r="N27" s="9"/>
      <c r="O27" s="81">
        <f>SUM(O6:O26)</f>
        <v>0</v>
      </c>
      <c r="Q27" s="10"/>
    </row>
    <row r="28" spans="2:26" ht="13.5" thickBot="1" x14ac:dyDescent="0.4">
      <c r="C28" s="6"/>
      <c r="D28" s="6"/>
      <c r="E28" s="11"/>
      <c r="F28" s="11"/>
      <c r="G28" s="11"/>
      <c r="H28" s="11"/>
      <c r="I28" s="12"/>
      <c r="J28" s="8"/>
      <c r="K28" s="8"/>
      <c r="L28" s="128" t="e">
        <f>L27/E6</f>
        <v>#DIV/0!</v>
      </c>
      <c r="M28" s="12"/>
      <c r="N28" s="9"/>
      <c r="O28" s="12"/>
    </row>
    <row r="29" spans="2:26" ht="15" customHeight="1" x14ac:dyDescent="0.35">
      <c r="B29" s="158" t="s">
        <v>25</v>
      </c>
      <c r="C29" s="159"/>
      <c r="D29" s="159"/>
      <c r="E29" s="159"/>
      <c r="F29" s="91"/>
      <c r="G29" s="91"/>
      <c r="H29" s="92" t="s">
        <v>2</v>
      </c>
      <c r="I29" s="88"/>
      <c r="J29" s="92" t="s">
        <v>3</v>
      </c>
      <c r="K29" s="90"/>
      <c r="L29" s="90"/>
      <c r="M29" s="88"/>
      <c r="N29" s="92" t="s">
        <v>4</v>
      </c>
      <c r="O29" s="88"/>
      <c r="R29" s="3"/>
    </row>
    <row r="30" spans="2:26" ht="13.5" thickBot="1" x14ac:dyDescent="0.4">
      <c r="B30" s="43" t="s">
        <v>6</v>
      </c>
      <c r="C30" s="44" t="s">
        <v>7</v>
      </c>
      <c r="D30" s="44" t="s">
        <v>52</v>
      </c>
      <c r="E30" s="44" t="s">
        <v>8</v>
      </c>
      <c r="F30" s="111" t="s">
        <v>61</v>
      </c>
      <c r="G30" s="45" t="s">
        <v>53</v>
      </c>
      <c r="H30" s="46" t="s">
        <v>9</v>
      </c>
      <c r="I30" s="47" t="s">
        <v>10</v>
      </c>
      <c r="J30" s="89" t="s">
        <v>11</v>
      </c>
      <c r="K30" s="93" t="s">
        <v>12</v>
      </c>
      <c r="L30" s="157">
        <f>$L$5</f>
        <v>1</v>
      </c>
      <c r="M30" s="45" t="s">
        <v>13</v>
      </c>
      <c r="N30" s="48" t="s">
        <v>14</v>
      </c>
      <c r="O30" s="45" t="s">
        <v>15</v>
      </c>
      <c r="R30" s="3"/>
    </row>
    <row r="31" spans="2:26" ht="14.5" customHeight="1" x14ac:dyDescent="0.35">
      <c r="B31" s="25">
        <v>1</v>
      </c>
      <c r="C31" s="26"/>
      <c r="D31" s="26"/>
      <c r="E31" s="27"/>
      <c r="F31" s="129"/>
      <c r="G31" s="28"/>
      <c r="H31" s="138"/>
      <c r="I31" s="80">
        <f t="shared" ref="I31:I43" si="8">H31*E31</f>
        <v>0</v>
      </c>
      <c r="J31" s="24" cm="1">
        <f t="array" ref="J31">IFERROR(_xlfn.SWITCH(G31, $Q$10, $R$10, $Q$11, $R$11, $Q$12, $R$12, $Q$13, $R$13, $Q$14, $R$14, $Q$15, $R$15, $Q$16, $R$16, $Q$17, $R$17, $Q$18, $R$18,$Q$19,$R$19,$Q$20,$R$20,$Q$21,$R$21,$Q$22,$R$22,$Q$23,$R$23,$Q$24,$R$24), 0)</f>
        <v>0</v>
      </c>
      <c r="K31" s="87">
        <f>IFERROR(H31*(1-J31),0)</f>
        <v>0</v>
      </c>
      <c r="L31" s="87">
        <f>IFERROR(K31*E31,0)/$L$5</f>
        <v>0</v>
      </c>
      <c r="M31" s="82">
        <f>IFERROR(K31*E31,0)</f>
        <v>0</v>
      </c>
      <c r="N31" s="85" cm="1">
        <f t="array" ref="N31">IFERROR(K31*(1+IFERROR(_xlfn.SWITCH(G31, $Q$10, $S$10, $Q$11, $S$11, $Q$12, $S$12, $Q$13, $S$13, $Q$14, $S$14, $Q$15, $S$15, $Q$16, $S$16, $Q$17, $S$17, $Q$18, $S$18,$Q$19,$S$19,$Q$20,$S$20,$Q$21,$S$21,$Q$22,$S$22,$Q$23,$S$23,$Q$24,$S$24), $S$10))*bp, 0)</f>
        <v>0</v>
      </c>
      <c r="O31" s="82">
        <f>IFERROR(N31*E31,0)</f>
        <v>0</v>
      </c>
      <c r="P31" s="2"/>
      <c r="R31" s="3"/>
    </row>
    <row r="32" spans="2:26" x14ac:dyDescent="0.35">
      <c r="B32" s="29">
        <v>2</v>
      </c>
      <c r="C32" s="33"/>
      <c r="D32" s="33"/>
      <c r="E32" s="34"/>
      <c r="F32" s="131"/>
      <c r="G32" s="114"/>
      <c r="H32" s="139"/>
      <c r="I32" s="140">
        <f t="shared" si="8"/>
        <v>0</v>
      </c>
      <c r="J32" s="118" cm="1">
        <f t="array" ref="J32">IFERROR(_xlfn.SWITCH(G32, $Q$10, $R$10, $Q$11, $R$11, $Q$12, $R$12, $Q$13, $R$13, $Q$14, $R$14, $Q$15, $R$15, $Q$16, $R$16, $Q$17, $R$17, $Q$18, $R$18,$Q$19,$R$19,$Q$20,$R$20,$Q$21,$R$21,$Q$22,$R$22,$Q$23,$R$23,$Q$24,$R$24), 0)</f>
        <v>0</v>
      </c>
      <c r="K32" s="120">
        <f t="shared" ref="K32:K44" si="9">IFERROR(H32*(1-J32),0)</f>
        <v>0</v>
      </c>
      <c r="L32" s="120">
        <f t="shared" ref="L32:L44" si="10">IFERROR(K32*E32,0)/$L$5</f>
        <v>0</v>
      </c>
      <c r="M32" s="83">
        <f t="shared" ref="M32:M43" si="11">IFERROR(K32*E32,0)</f>
        <v>0</v>
      </c>
      <c r="N32" s="143" cm="1">
        <f t="array" ref="N32">IFERROR(K32*(1+IFERROR(_xlfn.SWITCH(G32, $Q$10, $S$10, $Q$11, $S$11, $Q$12, $S$12, $Q$13, $S$13, $Q$14, $S$14, $Q$15, $S$15, $Q$16, $S$16, $Q$17, $S$17, $Q$18, $S$18,$Q$19,$S$19,$Q$20,$S$20,$Q$21,$S$21,$Q$22,$S$22,$Q$23,$S$23,$Q$24,$S$24), $S$10))*bp, 0)</f>
        <v>0</v>
      </c>
      <c r="O32" s="83">
        <f t="shared" ref="O32:O43" si="12">IFERROR(N32*E32,0)</f>
        <v>0</v>
      </c>
      <c r="R32" s="4"/>
    </row>
    <row r="33" spans="2:18" x14ac:dyDescent="0.35">
      <c r="B33" s="29">
        <v>3</v>
      </c>
      <c r="C33" s="33"/>
      <c r="D33" s="33"/>
      <c r="E33" s="34"/>
      <c r="F33" s="131"/>
      <c r="G33" s="114"/>
      <c r="H33" s="139"/>
      <c r="I33" s="140">
        <f t="shared" si="8"/>
        <v>0</v>
      </c>
      <c r="J33" s="118" cm="1">
        <f t="array" ref="J33">IFERROR(_xlfn.SWITCH(G33, $Q$10, $R$10, $Q$11, $R$11, $Q$12, $R$12, $Q$13, $R$13, $Q$14, $R$14, $Q$15, $R$15, $Q$16, $R$16, $Q$17, $R$17, $Q$18, $R$18,$Q$19,$R$19,$Q$20,$R$20,$Q$21,$R$21,$Q$22,$R$22,$Q$23,$R$23,$Q$24,$R$24), 0)</f>
        <v>0</v>
      </c>
      <c r="K33" s="120">
        <f t="shared" si="9"/>
        <v>0</v>
      </c>
      <c r="L33" s="120">
        <f t="shared" si="10"/>
        <v>0</v>
      </c>
      <c r="M33" s="83">
        <f t="shared" si="11"/>
        <v>0</v>
      </c>
      <c r="N33" s="143" cm="1">
        <f t="array" ref="N33">IFERROR(K33*(1+IFERROR(_xlfn.SWITCH(G33, $Q$10, $S$10, $Q$11, $S$11, $Q$12, $S$12, $Q$13, $S$13, $Q$14, $S$14, $Q$15, $S$15, $Q$16, $S$16, $Q$17, $S$17, $Q$18, $S$18,$Q$19,$S$19,$Q$20,$S$20,$Q$21,$S$21,$Q$22,$S$22,$Q$23,$S$23,$Q$24,$S$24), $S$10))*bp, 0)</f>
        <v>0</v>
      </c>
      <c r="O33" s="83">
        <f t="shared" si="12"/>
        <v>0</v>
      </c>
      <c r="R33" s="4"/>
    </row>
    <row r="34" spans="2:18" x14ac:dyDescent="0.35">
      <c r="B34" s="29">
        <v>4</v>
      </c>
      <c r="C34" s="33"/>
      <c r="D34" s="33"/>
      <c r="E34" s="34"/>
      <c r="F34" s="131"/>
      <c r="G34" s="114"/>
      <c r="H34" s="139"/>
      <c r="I34" s="140">
        <f t="shared" si="8"/>
        <v>0</v>
      </c>
      <c r="J34" s="118" cm="1">
        <f t="array" ref="J34">IFERROR(_xlfn.SWITCH(G34, $Q$10, $R$10, $Q$11, $R$11, $Q$12, $R$12, $Q$13, $R$13, $Q$14, $R$14, $Q$15, $R$15, $Q$16, $R$16, $Q$17, $R$17, $Q$18, $R$18,$Q$19,$R$19,$Q$20,$R$20,$Q$21,$R$21,$Q$22,$R$22,$Q$23,$R$23,$Q$24,$R$24), 0)</f>
        <v>0</v>
      </c>
      <c r="K34" s="120">
        <f t="shared" si="9"/>
        <v>0</v>
      </c>
      <c r="L34" s="120">
        <f t="shared" si="10"/>
        <v>0</v>
      </c>
      <c r="M34" s="83">
        <f t="shared" si="11"/>
        <v>0</v>
      </c>
      <c r="N34" s="143" cm="1">
        <f t="array" ref="N34">IFERROR(K34*(1+IFERROR(_xlfn.SWITCH(G34, $Q$10, $S$10, $Q$11, $S$11, $Q$12, $S$12, $Q$13, $S$13, $Q$14, $S$14, $Q$15, $S$15, $Q$16, $S$16, $Q$17, $S$17, $Q$18, $S$18,$Q$19,$S$19,$Q$20,$S$20,$Q$21,$S$21,$Q$22,$S$22,$Q$23,$S$23,$Q$24,$S$24), $S$10))*bp, 0)</f>
        <v>0</v>
      </c>
      <c r="O34" s="83">
        <f t="shared" si="12"/>
        <v>0</v>
      </c>
      <c r="R34" s="4"/>
    </row>
    <row r="35" spans="2:18" x14ac:dyDescent="0.35">
      <c r="B35" s="29">
        <v>5</v>
      </c>
      <c r="C35" s="33"/>
      <c r="D35" s="33"/>
      <c r="E35" s="34"/>
      <c r="F35" s="131"/>
      <c r="G35" s="114"/>
      <c r="H35" s="139"/>
      <c r="I35" s="140">
        <f t="shared" si="8"/>
        <v>0</v>
      </c>
      <c r="J35" s="118" cm="1">
        <f t="array" ref="J35">IFERROR(_xlfn.SWITCH(G35, $Q$10, $R$10, $Q$11, $R$11, $Q$12, $R$12, $Q$13, $R$13, $Q$14, $R$14, $Q$15, $R$15, $Q$16, $R$16, $Q$17, $R$17, $Q$18, $R$18,$Q$19,$R$19,$Q$20,$R$20,$Q$21,$R$21,$Q$22,$R$22,$Q$23,$R$23,$Q$24,$R$24), 0)</f>
        <v>0</v>
      </c>
      <c r="K35" s="120">
        <f t="shared" si="9"/>
        <v>0</v>
      </c>
      <c r="L35" s="120">
        <f t="shared" si="10"/>
        <v>0</v>
      </c>
      <c r="M35" s="83">
        <f t="shared" si="11"/>
        <v>0</v>
      </c>
      <c r="N35" s="143" cm="1">
        <f t="array" ref="N35">IFERROR(K35*(1+IFERROR(_xlfn.SWITCH(G35, $Q$10, $S$10, $Q$11, $S$11, $Q$12, $S$12, $Q$13, $S$13, $Q$14, $S$14, $Q$15, $S$15, $Q$16, $S$16, $Q$17, $S$17, $Q$18, $S$18,$Q$19,$S$19,$Q$20,$S$20,$Q$21,$S$21,$Q$22,$S$22,$Q$23,$S$23,$Q$24,$S$24), $S$10))*bp, 0)</f>
        <v>0</v>
      </c>
      <c r="O35" s="83">
        <f t="shared" si="12"/>
        <v>0</v>
      </c>
      <c r="R35" s="4"/>
    </row>
    <row r="36" spans="2:18" x14ac:dyDescent="0.35">
      <c r="B36" s="29">
        <v>6</v>
      </c>
      <c r="C36" s="33"/>
      <c r="D36" s="33"/>
      <c r="E36" s="34"/>
      <c r="F36" s="131"/>
      <c r="G36" s="114"/>
      <c r="H36" s="139"/>
      <c r="I36" s="140">
        <f t="shared" si="8"/>
        <v>0</v>
      </c>
      <c r="J36" s="118" cm="1">
        <f t="array" ref="J36">IFERROR(_xlfn.SWITCH(G36, $Q$10, $R$10, $Q$11, $R$11, $Q$12, $R$12, $Q$13, $R$13, $Q$14, $R$14, $Q$15, $R$15, $Q$16, $R$16, $Q$17, $R$17, $Q$18, $R$18,$Q$19,$R$19,$Q$20,$R$20,$Q$21,$R$21,$Q$22,$R$22,$Q$23,$R$23,$Q$24,$R$24), 0)</f>
        <v>0</v>
      </c>
      <c r="K36" s="120">
        <f t="shared" si="9"/>
        <v>0</v>
      </c>
      <c r="L36" s="120">
        <f t="shared" si="10"/>
        <v>0</v>
      </c>
      <c r="M36" s="83">
        <f t="shared" si="11"/>
        <v>0</v>
      </c>
      <c r="N36" s="143" cm="1">
        <f t="array" ref="N36">IFERROR(K36*(1+IFERROR(_xlfn.SWITCH(G36, $Q$10, $S$10, $Q$11, $S$11, $Q$12, $S$12, $Q$13, $S$13, $Q$14, $S$14, $Q$15, $S$15, $Q$16, $S$16, $Q$17, $S$17, $Q$18, $S$18,$Q$19,$S$19,$Q$20,$S$20,$Q$21,$S$21,$Q$22,$S$22,$Q$23,$S$23,$Q$24,$S$24), $S$10))*bp, 0)</f>
        <v>0</v>
      </c>
      <c r="O36" s="83">
        <f t="shared" si="12"/>
        <v>0</v>
      </c>
      <c r="R36" s="4"/>
    </row>
    <row r="37" spans="2:18" x14ac:dyDescent="0.35">
      <c r="B37" s="29">
        <v>7</v>
      </c>
      <c r="C37" s="33"/>
      <c r="D37" s="33"/>
      <c r="E37" s="34"/>
      <c r="F37" s="131"/>
      <c r="G37" s="114"/>
      <c r="H37" s="139"/>
      <c r="I37" s="140">
        <f t="shared" si="8"/>
        <v>0</v>
      </c>
      <c r="J37" s="118" cm="1">
        <f t="array" ref="J37">IFERROR(_xlfn.SWITCH(G37, $Q$10, $R$10, $Q$11, $R$11, $Q$12, $R$12, $Q$13, $R$13, $Q$14, $R$14, $Q$15, $R$15, $Q$16, $R$16, $Q$17, $R$17, $Q$18, $R$18,$Q$19,$R$19,$Q$20,$R$20,$Q$21,$R$21,$Q$22,$R$22,$Q$23,$R$23,$Q$24,$R$24), 0)</f>
        <v>0</v>
      </c>
      <c r="K37" s="120">
        <f t="shared" si="9"/>
        <v>0</v>
      </c>
      <c r="L37" s="120">
        <f t="shared" si="10"/>
        <v>0</v>
      </c>
      <c r="M37" s="83">
        <f t="shared" si="11"/>
        <v>0</v>
      </c>
      <c r="N37" s="143" cm="1">
        <f t="array" ref="N37">IFERROR(K37*(1+IFERROR(_xlfn.SWITCH(G37, $Q$10, $S$10, $Q$11, $S$11, $Q$12, $S$12, $Q$13, $S$13, $Q$14, $S$14, $Q$15, $S$15, $Q$16, $S$16, $Q$17, $S$17, $Q$18, $S$18,$Q$19,$S$19,$Q$20,$S$20,$Q$21,$S$21,$Q$22,$S$22,$Q$23,$S$23,$Q$24,$S$24), $S$10))*bp, 0)</f>
        <v>0</v>
      </c>
      <c r="O37" s="83">
        <f t="shared" si="12"/>
        <v>0</v>
      </c>
      <c r="R37" s="4"/>
    </row>
    <row r="38" spans="2:18" x14ac:dyDescent="0.35">
      <c r="B38" s="29">
        <v>8</v>
      </c>
      <c r="C38" s="33"/>
      <c r="D38" s="33"/>
      <c r="E38" s="34"/>
      <c r="F38" s="131"/>
      <c r="G38" s="114"/>
      <c r="H38" s="139"/>
      <c r="I38" s="140">
        <f t="shared" si="8"/>
        <v>0</v>
      </c>
      <c r="J38" s="118" cm="1">
        <f t="array" ref="J38">IFERROR(_xlfn.SWITCH(G38, $Q$10, $R$10, $Q$11, $R$11, $Q$12, $R$12, $Q$13, $R$13, $Q$14, $R$14, $Q$15, $R$15, $Q$16, $R$16, $Q$17, $R$17, $Q$18, $R$18,$Q$19,$R$19,$Q$20,$R$20,$Q$21,$R$21,$Q$22,$R$22,$Q$23,$R$23,$Q$24,$R$24), 0)</f>
        <v>0</v>
      </c>
      <c r="K38" s="120">
        <f t="shared" si="9"/>
        <v>0</v>
      </c>
      <c r="L38" s="120">
        <f t="shared" si="10"/>
        <v>0</v>
      </c>
      <c r="M38" s="83">
        <f t="shared" si="11"/>
        <v>0</v>
      </c>
      <c r="N38" s="143" cm="1">
        <f t="array" ref="N38">IFERROR(K38*(1+IFERROR(_xlfn.SWITCH(G38, $Q$10, $S$10, $Q$11, $S$11, $Q$12, $S$12, $Q$13, $S$13, $Q$14, $S$14, $Q$15, $S$15, $Q$16, $S$16, $Q$17, $S$17, $Q$18, $S$18,$Q$19,$S$19,$Q$20,$S$20,$Q$21,$S$21,$Q$22,$S$22,$Q$23,$S$23,$Q$24,$S$24), $S$10))*bp, 0)</f>
        <v>0</v>
      </c>
      <c r="O38" s="83">
        <f t="shared" si="12"/>
        <v>0</v>
      </c>
      <c r="R38" s="4"/>
    </row>
    <row r="39" spans="2:18" x14ac:dyDescent="0.35">
      <c r="B39" s="29">
        <v>9</v>
      </c>
      <c r="C39" s="33"/>
      <c r="D39" s="33"/>
      <c r="E39" s="34"/>
      <c r="F39" s="131"/>
      <c r="G39" s="114"/>
      <c r="H39" s="139"/>
      <c r="I39" s="140">
        <f t="shared" si="8"/>
        <v>0</v>
      </c>
      <c r="J39" s="118" cm="1">
        <f t="array" ref="J39">IFERROR(_xlfn.SWITCH(G39, $Q$10, $R$10, $Q$11, $R$11, $Q$12, $R$12, $Q$13, $R$13, $Q$14, $R$14, $Q$15, $R$15, $Q$16, $R$16, $Q$17, $R$17, $Q$18, $R$18,$Q$19,$R$19,$Q$20,$R$20,$Q$21,$R$21,$Q$22,$R$22,$Q$23,$R$23,$Q$24,$R$24), 0)</f>
        <v>0</v>
      </c>
      <c r="K39" s="120">
        <f t="shared" si="9"/>
        <v>0</v>
      </c>
      <c r="L39" s="120">
        <f t="shared" si="10"/>
        <v>0</v>
      </c>
      <c r="M39" s="83">
        <f t="shared" si="11"/>
        <v>0</v>
      </c>
      <c r="N39" s="143" cm="1">
        <f t="array" ref="N39">IFERROR(K39*(1+IFERROR(_xlfn.SWITCH(G39, $Q$10, $S$10, $Q$11, $S$11, $Q$12, $S$12, $Q$13, $S$13, $Q$14, $S$14, $Q$15, $S$15, $Q$16, $S$16, $Q$17, $S$17, $Q$18, $S$18,$Q$19,$S$19,$Q$20,$S$20,$Q$21,$S$21,$Q$22,$S$22,$Q$23,$S$23,$Q$24,$S$24), $S$10))*bp, 0)</f>
        <v>0</v>
      </c>
      <c r="O39" s="83">
        <f t="shared" si="12"/>
        <v>0</v>
      </c>
      <c r="R39" s="4"/>
    </row>
    <row r="40" spans="2:18" x14ac:dyDescent="0.35">
      <c r="B40" s="29">
        <v>10</v>
      </c>
      <c r="C40" s="33"/>
      <c r="D40" s="33"/>
      <c r="E40" s="34"/>
      <c r="F40" s="131"/>
      <c r="G40" s="114"/>
      <c r="H40" s="139"/>
      <c r="I40" s="140">
        <f t="shared" si="8"/>
        <v>0</v>
      </c>
      <c r="J40" s="118" cm="1">
        <f t="array" ref="J40">IFERROR(_xlfn.SWITCH(G40, $Q$10, $R$10, $Q$11, $R$11, $Q$12, $R$12, $Q$13, $R$13, $Q$14, $R$14, $Q$15, $R$15, $Q$16, $R$16, $Q$17, $R$17, $Q$18, $R$18,$Q$19,$R$19,$Q$20,$R$20,$Q$21,$R$21,$Q$22,$R$22,$Q$23,$R$23,$Q$24,$R$24), 0)</f>
        <v>0</v>
      </c>
      <c r="K40" s="120">
        <f t="shared" si="9"/>
        <v>0</v>
      </c>
      <c r="L40" s="120">
        <f t="shared" si="10"/>
        <v>0</v>
      </c>
      <c r="M40" s="83">
        <f t="shared" si="11"/>
        <v>0</v>
      </c>
      <c r="N40" s="143" cm="1">
        <f t="array" ref="N40">IFERROR(K40*(1+IFERROR(_xlfn.SWITCH(G40, $Q$10, $S$10, $Q$11, $S$11, $Q$12, $S$12, $Q$13, $S$13, $Q$14, $S$14, $Q$15, $S$15, $Q$16, $S$16, $Q$17, $S$17, $Q$18, $S$18,$Q$19,$S$19,$Q$20,$S$20,$Q$21,$S$21,$Q$22,$S$22,$Q$23,$S$23,$Q$24,$S$24), $S$10))*bp, 0)</f>
        <v>0</v>
      </c>
      <c r="O40" s="83">
        <f t="shared" si="12"/>
        <v>0</v>
      </c>
      <c r="R40" s="4"/>
    </row>
    <row r="41" spans="2:18" x14ac:dyDescent="0.35">
      <c r="B41" s="29">
        <v>11</v>
      </c>
      <c r="C41" s="33"/>
      <c r="D41" s="33"/>
      <c r="E41" s="34"/>
      <c r="F41" s="131"/>
      <c r="G41" s="114"/>
      <c r="H41" s="139"/>
      <c r="I41" s="140">
        <f t="shared" si="8"/>
        <v>0</v>
      </c>
      <c r="J41" s="118" cm="1">
        <f t="array" ref="J41">IFERROR(_xlfn.SWITCH(G41, $Q$10, $R$10, $Q$11, $R$11, $Q$12, $R$12, $Q$13, $R$13, $Q$14, $R$14, $Q$15, $R$15, $Q$16, $R$16, $Q$17, $R$17, $Q$18, $R$18,$Q$19,$R$19,$Q$20,$R$20,$Q$21,$R$21,$Q$22,$R$22,$Q$23,$R$23,$Q$24,$R$24), 0)</f>
        <v>0</v>
      </c>
      <c r="K41" s="120">
        <f t="shared" si="9"/>
        <v>0</v>
      </c>
      <c r="L41" s="120">
        <f t="shared" si="10"/>
        <v>0</v>
      </c>
      <c r="M41" s="83">
        <f t="shared" si="11"/>
        <v>0</v>
      </c>
      <c r="N41" s="143" cm="1">
        <f t="array" ref="N41">IFERROR(K41*(1+IFERROR(_xlfn.SWITCH(G41, $Q$10, $S$10, $Q$11, $S$11, $Q$12, $S$12, $Q$13, $S$13, $Q$14, $S$14, $Q$15, $S$15, $Q$16, $S$16, $Q$17, $S$17, $Q$18, $S$18,$Q$19,$S$19,$Q$20,$S$20,$Q$21,$S$21,$Q$22,$S$22,$Q$23,$S$23,$Q$24,$S$24), $S$10))*bp, 0)</f>
        <v>0</v>
      </c>
      <c r="O41" s="83">
        <f t="shared" si="12"/>
        <v>0</v>
      </c>
      <c r="R41" s="4"/>
    </row>
    <row r="42" spans="2:18" x14ac:dyDescent="0.35">
      <c r="B42" s="29">
        <v>12</v>
      </c>
      <c r="C42" s="33"/>
      <c r="D42" s="33"/>
      <c r="E42" s="34"/>
      <c r="F42" s="131"/>
      <c r="G42" s="114"/>
      <c r="H42" s="139"/>
      <c r="I42" s="140">
        <f t="shared" si="8"/>
        <v>0</v>
      </c>
      <c r="J42" s="118" cm="1">
        <f t="array" ref="J42">IFERROR(_xlfn.SWITCH(G42, $Q$10, $R$10, $Q$11, $R$11, $Q$12, $R$12, $Q$13, $R$13, $Q$14, $R$14, $Q$15, $R$15, $Q$16, $R$16, $Q$17, $R$17, $Q$18, $R$18,$Q$19,$R$19,$Q$20,$R$20,$Q$21,$R$21,$Q$22,$R$22,$Q$23,$R$23,$Q$24,$R$24), 0)</f>
        <v>0</v>
      </c>
      <c r="K42" s="120">
        <f t="shared" si="9"/>
        <v>0</v>
      </c>
      <c r="L42" s="120">
        <f t="shared" si="10"/>
        <v>0</v>
      </c>
      <c r="M42" s="83">
        <f t="shared" si="11"/>
        <v>0</v>
      </c>
      <c r="N42" s="143" cm="1">
        <f t="array" ref="N42">IFERROR(K42*(1+IFERROR(_xlfn.SWITCH(G42, $Q$10, $S$10, $Q$11, $S$11, $Q$12, $S$12, $Q$13, $S$13, $Q$14, $S$14, $Q$15, $S$15, $Q$16, $S$16, $Q$17, $S$17, $Q$18, $S$18,$Q$19,$S$19,$Q$20,$S$20,$Q$21,$S$21,$Q$22,$S$22,$Q$23,$S$23,$Q$24,$S$24), $S$10))*bp, 0)</f>
        <v>0</v>
      </c>
      <c r="O42" s="83">
        <f t="shared" si="12"/>
        <v>0</v>
      </c>
      <c r="R42" s="4"/>
    </row>
    <row r="43" spans="2:18" x14ac:dyDescent="0.35">
      <c r="B43" s="29">
        <v>13</v>
      </c>
      <c r="C43" s="33"/>
      <c r="D43" s="33"/>
      <c r="E43" s="34"/>
      <c r="F43" s="131"/>
      <c r="G43" s="114"/>
      <c r="H43" s="139"/>
      <c r="I43" s="140">
        <f t="shared" si="8"/>
        <v>0</v>
      </c>
      <c r="J43" s="118" cm="1">
        <f t="array" ref="J43">IFERROR(_xlfn.SWITCH(G43, $Q$10, $R$10, $Q$11, $R$11, $Q$12, $R$12, $Q$13, $R$13, $Q$14, $R$14, $Q$15, $R$15, $Q$16, $R$16, $Q$17, $R$17, $Q$18, $R$18,$Q$19,$R$19,$Q$20,$R$20,$Q$21,$R$21,$Q$22,$R$22,$Q$23,$R$23,$Q$24,$R$24), 0)</f>
        <v>0</v>
      </c>
      <c r="K43" s="120">
        <f t="shared" si="9"/>
        <v>0</v>
      </c>
      <c r="L43" s="120">
        <f t="shared" si="10"/>
        <v>0</v>
      </c>
      <c r="M43" s="83">
        <f t="shared" si="11"/>
        <v>0</v>
      </c>
      <c r="N43" s="143" cm="1">
        <f t="array" ref="N43">IFERROR(K43*(1+IFERROR(_xlfn.SWITCH(G43, $Q$10, $S$10, $Q$11, $S$11, $Q$12, $S$12, $Q$13, $S$13, $Q$14, $S$14, $Q$15, $S$15, $Q$16, $S$16, $Q$17, $S$17, $Q$18, $S$18,$Q$19,$S$19,$Q$20,$S$20,$Q$21,$S$21,$Q$22,$S$22,$Q$23,$S$23,$Q$24,$S$24), $S$10))*bp, 0)</f>
        <v>0</v>
      </c>
      <c r="O43" s="83">
        <f t="shared" si="12"/>
        <v>0</v>
      </c>
      <c r="R43" s="4"/>
    </row>
    <row r="44" spans="2:18" ht="13.5" thickBot="1" x14ac:dyDescent="0.4">
      <c r="B44" s="35">
        <v>14</v>
      </c>
      <c r="C44" s="36"/>
      <c r="D44" s="36"/>
      <c r="E44" s="37"/>
      <c r="F44" s="132"/>
      <c r="G44" s="115"/>
      <c r="H44" s="141"/>
      <c r="I44" s="142">
        <f>H44*E44</f>
        <v>0</v>
      </c>
      <c r="J44" s="124" cm="1">
        <f t="array" ref="J44">IFERROR(_xlfn.SWITCH(G44, $Q$10, $R$10, $Q$11, $R$11, $Q$12, $R$12, $Q$13, $R$13, $Q$14, $R$14, $Q$15, $R$15, $Q$16, $R$16, $Q$17, $R$17, $Q$18, $R$18,$Q$19,$R$19,$Q$20,$R$20,$Q$21,$R$21,$Q$22,$R$22,$Q$23,$R$23,$Q$24,$R$24), 0)</f>
        <v>0</v>
      </c>
      <c r="K44" s="126">
        <f t="shared" si="9"/>
        <v>0</v>
      </c>
      <c r="L44" s="126">
        <f t="shared" si="10"/>
        <v>0</v>
      </c>
      <c r="M44" s="84">
        <f>IFERROR(K44*E44,0)</f>
        <v>0</v>
      </c>
      <c r="N44" s="144" cm="1">
        <f t="array" ref="N44">IFERROR(K44*(1+IFERROR(_xlfn.SWITCH(G44, $Q$10, $S$10, $Q$11, $S$11, $Q$12, $S$12, $Q$13, $S$13, $Q$14, $S$14, $Q$15, $S$15, $Q$16, $S$16, $Q$17, $S$17, $Q$18, $S$18,$Q$19,$S$19,$Q$20,$S$20,$Q$21,$S$21,$Q$22,$S$22,$Q$23,$S$23,$Q$24,$S$24), $S$10))*bp, 0)</f>
        <v>0</v>
      </c>
      <c r="O44" s="84">
        <f>IFERROR(N44*E44,0)</f>
        <v>0</v>
      </c>
      <c r="Q44" s="2"/>
    </row>
    <row r="45" spans="2:18" x14ac:dyDescent="0.35">
      <c r="C45" s="6"/>
      <c r="D45" s="6"/>
      <c r="E45" s="8"/>
      <c r="F45" s="8"/>
      <c r="G45" s="8"/>
      <c r="H45" s="8"/>
      <c r="I45" s="81">
        <f>SUM(I31:I44)</f>
        <v>0</v>
      </c>
      <c r="J45" s="8"/>
      <c r="K45" s="42"/>
      <c r="L45" s="95">
        <f>SUM(L31:L44)</f>
        <v>0</v>
      </c>
      <c r="M45" s="81">
        <f>SUM(M31:M44)</f>
        <v>0</v>
      </c>
      <c r="N45" s="9"/>
      <c r="O45" s="81">
        <f>SUM(O31:O44)</f>
        <v>0</v>
      </c>
      <c r="Q45" s="10"/>
    </row>
    <row r="46" spans="2:18" ht="13.5" thickBot="1" x14ac:dyDescent="0.4">
      <c r="C46" s="6"/>
      <c r="D46" s="6"/>
      <c r="E46" s="11"/>
      <c r="F46" s="11"/>
      <c r="G46" s="11"/>
      <c r="H46" s="11"/>
      <c r="I46" s="12"/>
      <c r="J46" s="11"/>
      <c r="K46" s="11"/>
      <c r="L46" s="11"/>
      <c r="M46" s="12"/>
      <c r="N46" s="9"/>
    </row>
    <row r="47" spans="2:18" ht="15" customHeight="1" x14ac:dyDescent="0.35">
      <c r="B47" s="158" t="s">
        <v>26</v>
      </c>
      <c r="C47" s="159"/>
      <c r="D47" s="159"/>
      <c r="E47" s="159"/>
      <c r="F47" s="91"/>
      <c r="G47" s="91"/>
      <c r="H47" s="92" t="s">
        <v>2</v>
      </c>
      <c r="I47" s="88"/>
      <c r="J47" s="92" t="s">
        <v>3</v>
      </c>
      <c r="K47" s="90"/>
      <c r="L47" s="90"/>
      <c r="M47" s="88"/>
      <c r="N47" s="92" t="s">
        <v>4</v>
      </c>
      <c r="O47" s="88"/>
      <c r="R47" s="3"/>
    </row>
    <row r="48" spans="2:18" ht="13.5" thickBot="1" x14ac:dyDescent="0.4">
      <c r="B48" s="43" t="s">
        <v>6</v>
      </c>
      <c r="C48" s="44" t="s">
        <v>7</v>
      </c>
      <c r="D48" s="44"/>
      <c r="E48" s="44" t="s">
        <v>8</v>
      </c>
      <c r="F48" s="111" t="s">
        <v>61</v>
      </c>
      <c r="G48" s="45" t="s">
        <v>53</v>
      </c>
      <c r="H48" s="46" t="s">
        <v>9</v>
      </c>
      <c r="I48" s="47" t="s">
        <v>10</v>
      </c>
      <c r="J48" s="89" t="s">
        <v>11</v>
      </c>
      <c r="K48" s="93" t="s">
        <v>27</v>
      </c>
      <c r="L48" s="157">
        <f>$L$5</f>
        <v>1</v>
      </c>
      <c r="M48" s="45" t="s">
        <v>13</v>
      </c>
      <c r="N48" s="48" t="s">
        <v>14</v>
      </c>
      <c r="O48" s="45" t="s">
        <v>15</v>
      </c>
      <c r="R48" s="3"/>
    </row>
    <row r="49" spans="2:18" ht="14.5" customHeight="1" x14ac:dyDescent="0.35">
      <c r="B49" s="25">
        <v>1</v>
      </c>
      <c r="C49" s="26"/>
      <c r="D49" s="26"/>
      <c r="E49" s="27"/>
      <c r="F49" s="129"/>
      <c r="G49" s="28"/>
      <c r="H49" s="138"/>
      <c r="I49" s="80">
        <f t="shared" ref="I49:I53" si="13">H49*E49</f>
        <v>0</v>
      </c>
      <c r="J49" s="24" cm="1">
        <f t="array" ref="J49">IFERROR(_xlfn.SWITCH(G49, $Q$10, $R$10, $Q$11, $R$11, $Q$12, $R$12, $Q$13, $R$13, $Q$14, $R$14, $Q$15, $R$15, $Q$16, $R$16, $Q$17, $R$17, $Q$18, $R$18,$Q$19,$R$19,$Q$20,$R$20,$Q$21,$R$21,$Q$22,$R$22,$Q$23,$R$23,$Q$24,$R$24), 0)</f>
        <v>0</v>
      </c>
      <c r="K49" s="87">
        <f>IFERROR(H49*(1-J49),0)</f>
        <v>0</v>
      </c>
      <c r="L49" s="87">
        <f>IFERROR(K49*E49,0)/$L$5</f>
        <v>0</v>
      </c>
      <c r="M49" s="82">
        <f>IFERROR(K49*E49,0)</f>
        <v>0</v>
      </c>
      <c r="N49" s="85" cm="1">
        <f t="array" ref="N49">IFERROR(K49*(1+IFERROR(_xlfn.SWITCH(G49, $Q$10, $S$10, $Q$11, $S$11, $Q$12, $S$12, $Q$13, $S$13, $Q$14, $S$14, $Q$15, $S$15, $Q$16, $S$16, $Q$17, $S$17, $Q$18, $S$18,$Q$19,$S$19,$Q$20,$S$20,$Q$21,$S$21,$Q$22,$S$22,$Q$23,$S$23,$Q$24,$S$24), $S$10))*bp, 0)</f>
        <v>0</v>
      </c>
      <c r="O49" s="82">
        <f>IFERROR(N49*E49,0)</f>
        <v>0</v>
      </c>
      <c r="P49" s="2"/>
      <c r="R49" s="3"/>
    </row>
    <row r="50" spans="2:18" x14ac:dyDescent="0.35">
      <c r="B50" s="29">
        <v>2</v>
      </c>
      <c r="C50" s="33"/>
      <c r="D50" s="33"/>
      <c r="E50" s="34"/>
      <c r="F50" s="131"/>
      <c r="G50" s="114"/>
      <c r="H50" s="139"/>
      <c r="I50" s="140">
        <f t="shared" si="13"/>
        <v>0</v>
      </c>
      <c r="J50" s="118" cm="1">
        <f t="array" ref="J50">IFERROR(_xlfn.SWITCH(G50, $Q$10, $R$10, $Q$11, $R$11, $Q$12, $R$12, $Q$13, $R$13, $Q$14, $R$14, $Q$15, $R$15, $Q$16, $R$16, $Q$17, $R$17, $Q$18, $R$18,$Q$19,$R$19,$Q$20,$R$20,$Q$21,$R$21,$Q$22,$R$22,$Q$23,$R$23,$Q$24,$R$24), 0)</f>
        <v>0</v>
      </c>
      <c r="K50" s="120">
        <f t="shared" ref="K50:K54" si="14">IFERROR(H50*(1-J50),0)</f>
        <v>0</v>
      </c>
      <c r="L50" s="120">
        <f t="shared" ref="L50:L54" si="15">IFERROR(K50*E50,0)/$L$5</f>
        <v>0</v>
      </c>
      <c r="M50" s="83">
        <f t="shared" ref="M50:M54" si="16">IFERROR(K50*E50,0)</f>
        <v>0</v>
      </c>
      <c r="N50" s="143" cm="1">
        <f t="array" ref="N50">IFERROR(K50*(1+IFERROR(_xlfn.SWITCH(G50, $Q$10, $S$10, $Q$11, $S$11, $Q$12, $S$12, $Q$13, $S$13, $Q$14, $S$14, $Q$15, $S$15, $Q$16, $S$16, $Q$17, $S$17, $Q$18, $S$18,$Q$19,$S$19,$Q$20,$S$20,$Q$21,$S$21,$Q$22,$S$22,$Q$23,$S$23,$Q$24,$S$24), $S$10))*bp, 0)</f>
        <v>0</v>
      </c>
      <c r="O50" s="83">
        <f t="shared" ref="O50:O54" si="17">IFERROR(N50*E50,0)</f>
        <v>0</v>
      </c>
      <c r="R50" s="4"/>
    </row>
    <row r="51" spans="2:18" x14ac:dyDescent="0.35">
      <c r="B51" s="29">
        <v>3</v>
      </c>
      <c r="C51" s="33"/>
      <c r="D51" s="33"/>
      <c r="E51" s="34"/>
      <c r="F51" s="131"/>
      <c r="G51" s="114"/>
      <c r="H51" s="139"/>
      <c r="I51" s="140">
        <f t="shared" si="13"/>
        <v>0</v>
      </c>
      <c r="J51" s="118" cm="1">
        <f t="array" ref="J51">IFERROR(_xlfn.SWITCH(G51, $Q$10, $R$10, $Q$11, $R$11, $Q$12, $R$12, $Q$13, $R$13, $Q$14, $R$14, $Q$15, $R$15, $Q$16, $R$16, $Q$17, $R$17, $Q$18, $R$18,$Q$19,$R$19,$Q$20,$R$20,$Q$21,$R$21,$Q$22,$R$22,$Q$23,$R$23,$Q$24,$R$24), 0)</f>
        <v>0</v>
      </c>
      <c r="K51" s="120">
        <f t="shared" si="14"/>
        <v>0</v>
      </c>
      <c r="L51" s="120">
        <f t="shared" si="15"/>
        <v>0</v>
      </c>
      <c r="M51" s="83">
        <f t="shared" si="16"/>
        <v>0</v>
      </c>
      <c r="N51" s="143" cm="1">
        <f t="array" ref="N51">IFERROR(K51*(1+IFERROR(_xlfn.SWITCH(G51, $Q$10, $S$10, $Q$11, $S$11, $Q$12, $S$12, $Q$13, $S$13, $Q$14, $S$14, $Q$15, $S$15, $Q$16, $S$16, $Q$17, $S$17, $Q$18, $S$18,$Q$19,$S$19,$Q$20,$S$20,$Q$21,$S$21,$Q$22,$S$22,$Q$23,$S$23,$Q$24,$S$24), $S$10))*bp, 0)</f>
        <v>0</v>
      </c>
      <c r="O51" s="83">
        <f t="shared" si="17"/>
        <v>0</v>
      </c>
      <c r="R51" s="4"/>
    </row>
    <row r="52" spans="2:18" x14ac:dyDescent="0.35">
      <c r="B52" s="29">
        <v>4</v>
      </c>
      <c r="C52" s="33"/>
      <c r="D52" s="33"/>
      <c r="E52" s="34"/>
      <c r="F52" s="131"/>
      <c r="G52" s="114"/>
      <c r="H52" s="139"/>
      <c r="I52" s="140">
        <f t="shared" si="13"/>
        <v>0</v>
      </c>
      <c r="J52" s="118" cm="1">
        <f t="array" ref="J52">IFERROR(_xlfn.SWITCH(G52, $Q$10, $R$10, $Q$11, $R$11, $Q$12, $R$12, $Q$13, $R$13, $Q$14, $R$14, $Q$15, $R$15, $Q$16, $R$16, $Q$17, $R$17, $Q$18, $R$18,$Q$19,$R$19,$Q$20,$R$20,$Q$21,$R$21,$Q$22,$R$22,$Q$23,$R$23,$Q$24,$R$24), 0)</f>
        <v>0</v>
      </c>
      <c r="K52" s="120">
        <f t="shared" si="14"/>
        <v>0</v>
      </c>
      <c r="L52" s="120">
        <f t="shared" si="15"/>
        <v>0</v>
      </c>
      <c r="M52" s="83">
        <f t="shared" si="16"/>
        <v>0</v>
      </c>
      <c r="N52" s="143" cm="1">
        <f t="array" ref="N52">IFERROR(K52*(1+IFERROR(_xlfn.SWITCH(G52, $Q$10, $S$10, $Q$11, $S$11, $Q$12, $S$12, $Q$13, $S$13, $Q$14, $S$14, $Q$15, $S$15, $Q$16, $S$16, $Q$17, $S$17, $Q$18, $S$18,$Q$19,$S$19,$Q$20,$S$20,$Q$21,$S$21,$Q$22,$S$22,$Q$23,$S$23,$Q$24,$S$24), $S$10))*bp, 0)</f>
        <v>0</v>
      </c>
      <c r="O52" s="83">
        <f t="shared" si="17"/>
        <v>0</v>
      </c>
      <c r="R52" s="4"/>
    </row>
    <row r="53" spans="2:18" x14ac:dyDescent="0.35">
      <c r="B53" s="29">
        <v>5</v>
      </c>
      <c r="C53" s="33"/>
      <c r="D53" s="33"/>
      <c r="E53" s="34"/>
      <c r="F53" s="131"/>
      <c r="G53" s="114"/>
      <c r="H53" s="139"/>
      <c r="I53" s="140">
        <f t="shared" si="13"/>
        <v>0</v>
      </c>
      <c r="J53" s="118" cm="1">
        <f t="array" ref="J53">IFERROR(_xlfn.SWITCH(G53, $Q$10, $R$10, $Q$11, $R$11, $Q$12, $R$12, $Q$13, $R$13, $Q$14, $R$14, $Q$15, $R$15, $Q$16, $R$16, $Q$17, $R$17, $Q$18, $R$18,$Q$19,$R$19,$Q$20,$R$20,$Q$21,$R$21,$Q$22,$R$22,$Q$23,$R$23,$Q$24,$R$24), 0)</f>
        <v>0</v>
      </c>
      <c r="K53" s="120">
        <f t="shared" si="14"/>
        <v>0</v>
      </c>
      <c r="L53" s="120">
        <f t="shared" si="15"/>
        <v>0</v>
      </c>
      <c r="M53" s="83">
        <f t="shared" si="16"/>
        <v>0</v>
      </c>
      <c r="N53" s="143" cm="1">
        <f t="array" ref="N53">IFERROR(K53*(1+IFERROR(_xlfn.SWITCH(G53, $Q$10, $S$10, $Q$11, $S$11, $Q$12, $S$12, $Q$13, $S$13, $Q$14, $S$14, $Q$15, $S$15, $Q$16, $S$16, $Q$17, $S$17, $Q$18, $S$18,$Q$19,$S$19,$Q$20,$S$20,$Q$21,$S$21,$Q$22,$S$22,$Q$23,$S$23,$Q$24,$S$24), $S$10))*bp, 0)</f>
        <v>0</v>
      </c>
      <c r="O53" s="83">
        <f t="shared" si="17"/>
        <v>0</v>
      </c>
      <c r="R53" s="4"/>
    </row>
    <row r="54" spans="2:18" ht="13.5" thickBot="1" x14ac:dyDescent="0.4">
      <c r="B54" s="35">
        <v>6</v>
      </c>
      <c r="C54" s="36"/>
      <c r="D54" s="36"/>
      <c r="E54" s="37"/>
      <c r="F54" s="132"/>
      <c r="G54" s="115"/>
      <c r="H54" s="141"/>
      <c r="I54" s="142">
        <f>H54*E54</f>
        <v>0</v>
      </c>
      <c r="J54" s="124" cm="1">
        <f t="array" ref="J54">IFERROR(_xlfn.SWITCH(G54, $Q$10, $R$10, $Q$11, $R$11, $Q$12, $R$12, $Q$13, $R$13, $Q$14, $R$14, $Q$15, $R$15, $Q$16, $R$16, $Q$17, $R$17, $Q$18, $R$18,$Q$19,$R$19,$Q$20,$R$20,$Q$21,$R$21,$Q$22,$R$22,$Q$23,$R$23,$Q$24,$R$24), 0)</f>
        <v>0</v>
      </c>
      <c r="K54" s="126">
        <f t="shared" si="14"/>
        <v>0</v>
      </c>
      <c r="L54" s="126">
        <f t="shared" si="15"/>
        <v>0</v>
      </c>
      <c r="M54" s="84">
        <f t="shared" si="16"/>
        <v>0</v>
      </c>
      <c r="N54" s="144" cm="1">
        <f t="array" ref="N54">IFERROR(K54*(1+IFERROR(_xlfn.SWITCH(G54, $Q$10, $S$10, $Q$11, $S$11, $Q$12, $S$12, $Q$13, $S$13, $Q$14, $S$14, $Q$15, $S$15, $Q$16, $S$16, $Q$17, $S$17, $Q$18, $S$18,$Q$19,$S$19,$Q$20,$S$20,$Q$21,$S$21,$Q$22,$S$22,$Q$23,$S$23,$Q$24,$S$24), $S$10))*bp, 0)</f>
        <v>0</v>
      </c>
      <c r="O54" s="84">
        <f t="shared" si="17"/>
        <v>0</v>
      </c>
      <c r="Q54" s="2"/>
    </row>
    <row r="55" spans="2:18" x14ac:dyDescent="0.35">
      <c r="C55" s="6"/>
      <c r="D55" s="6"/>
      <c r="E55" s="42"/>
      <c r="F55" s="42"/>
      <c r="G55" s="42"/>
      <c r="H55" s="50"/>
      <c r="I55" s="81">
        <f>SUM(I49:I54)</f>
        <v>0</v>
      </c>
      <c r="J55" s="8"/>
      <c r="K55" s="42"/>
      <c r="L55" s="95">
        <f>SUM(L49:L54)</f>
        <v>0</v>
      </c>
      <c r="M55" s="81">
        <f>SUM(M49:M54)</f>
        <v>0</v>
      </c>
      <c r="N55" s="9"/>
      <c r="O55" s="81">
        <f>SUM(O49:O54)</f>
        <v>0</v>
      </c>
      <c r="Q55" s="10"/>
    </row>
    <row r="56" spans="2:18" ht="13.5" thickBot="1" x14ac:dyDescent="0.4">
      <c r="C56" s="6"/>
      <c r="D56" s="6"/>
      <c r="E56" s="11"/>
      <c r="F56" s="11"/>
      <c r="G56" s="11"/>
      <c r="H56" s="11"/>
      <c r="I56" s="12"/>
      <c r="J56" s="11"/>
      <c r="K56" s="11"/>
      <c r="L56" s="11"/>
      <c r="M56" s="12"/>
      <c r="N56" s="9"/>
    </row>
    <row r="57" spans="2:18" ht="15" customHeight="1" x14ac:dyDescent="0.35">
      <c r="B57" s="158" t="s">
        <v>28</v>
      </c>
      <c r="C57" s="159"/>
      <c r="D57" s="159"/>
      <c r="E57" s="159"/>
      <c r="F57" s="91"/>
      <c r="G57" s="91"/>
      <c r="H57" s="92" t="s">
        <v>2</v>
      </c>
      <c r="I57" s="88"/>
      <c r="J57" s="92" t="s">
        <v>3</v>
      </c>
      <c r="K57" s="90"/>
      <c r="L57" s="90"/>
      <c r="M57" s="88"/>
      <c r="N57" s="92" t="s">
        <v>4</v>
      </c>
      <c r="O57" s="88"/>
      <c r="R57" s="3"/>
    </row>
    <row r="58" spans="2:18" ht="13.5" thickBot="1" x14ac:dyDescent="0.4">
      <c r="B58" s="43" t="s">
        <v>6</v>
      </c>
      <c r="C58" s="44" t="s">
        <v>7</v>
      </c>
      <c r="D58" s="44" t="s">
        <v>52</v>
      </c>
      <c r="E58" s="44" t="s">
        <v>8</v>
      </c>
      <c r="F58" s="111" t="s">
        <v>61</v>
      </c>
      <c r="G58" s="45" t="s">
        <v>53</v>
      </c>
      <c r="H58" s="46" t="s">
        <v>9</v>
      </c>
      <c r="I58" s="47" t="s">
        <v>10</v>
      </c>
      <c r="J58" s="89" t="s">
        <v>11</v>
      </c>
      <c r="K58" s="93" t="s">
        <v>29</v>
      </c>
      <c r="L58" s="157">
        <f>$L$5</f>
        <v>1</v>
      </c>
      <c r="M58" s="45" t="s">
        <v>13</v>
      </c>
      <c r="N58" s="48" t="s">
        <v>14</v>
      </c>
      <c r="O58" s="45" t="s">
        <v>15</v>
      </c>
      <c r="R58" s="3"/>
    </row>
    <row r="59" spans="2:18" ht="14.5" customHeight="1" x14ac:dyDescent="0.35">
      <c r="B59" s="25">
        <v>1</v>
      </c>
      <c r="C59" s="26"/>
      <c r="D59" s="26"/>
      <c r="E59" s="27"/>
      <c r="F59" s="129"/>
      <c r="G59" s="28"/>
      <c r="H59" s="138"/>
      <c r="I59" s="80">
        <f t="shared" ref="I59:I85" si="18">H59*E59</f>
        <v>0</v>
      </c>
      <c r="J59" s="24" cm="1">
        <f t="array" ref="J59">IFERROR(_xlfn.SWITCH(G59, $Q$10, $R$10, $Q$11, $R$11, $Q$12, $R$12, $Q$13, $R$13, $Q$14, $R$14, $Q$15, $R$15, $Q$16, $R$16, $Q$17, $R$17, $Q$18, $R$18,$Q$19,$R$19,$Q$20,$R$20,$Q$21,$R$21,$Q$22,$R$22,$Q$23,$R$23,$Q$24,$R$24), 0)</f>
        <v>0</v>
      </c>
      <c r="K59" s="87">
        <f>IFERROR(H59*(1-J59),0)</f>
        <v>0</v>
      </c>
      <c r="L59" s="87">
        <f>IFERROR(K59*E59,0)/$L$5</f>
        <v>0</v>
      </c>
      <c r="M59" s="82">
        <f>IFERROR(K59*E59,0)</f>
        <v>0</v>
      </c>
      <c r="N59" s="85" cm="1">
        <f t="array" ref="N59">IFERROR(K59*(1+IFERROR(_xlfn.SWITCH(G59, $Q$10, $S$10, $Q$11, $S$11, $Q$12, $S$12, $Q$13, $S$13, $Q$14, $S$14, $Q$15, $S$15, $Q$16, $S$16, $Q$17, $S$17, $Q$18, $S$18,$Q$19,$S$19,$Q$20,$S$20,$Q$21,$S$21,$Q$22,$S$22,$Q$23,$S$23,$Q$24,$S$24), $S$10))*bp, 0)</f>
        <v>0</v>
      </c>
      <c r="O59" s="82">
        <f>IFERROR(N59*E59,0)</f>
        <v>0</v>
      </c>
      <c r="P59" s="2"/>
      <c r="R59" s="3"/>
    </row>
    <row r="60" spans="2:18" x14ac:dyDescent="0.35">
      <c r="B60" s="29">
        <v>2</v>
      </c>
      <c r="C60" s="33"/>
      <c r="D60" s="33"/>
      <c r="E60" s="34"/>
      <c r="F60" s="131"/>
      <c r="G60" s="114"/>
      <c r="H60" s="139"/>
      <c r="I60" s="140">
        <f t="shared" si="18"/>
        <v>0</v>
      </c>
      <c r="J60" s="118" cm="1">
        <f t="array" ref="J60">IFERROR(_xlfn.SWITCH(G60, $Q$10, $R$10, $Q$11, $R$11, $Q$12, $R$12, $Q$13, $R$13, $Q$14, $R$14, $Q$15, $R$15, $Q$16, $R$16, $Q$17, $R$17, $Q$18, $R$18,$Q$19,$R$19,$Q$20,$R$20,$Q$21,$R$21,$Q$22,$R$22,$Q$23,$R$23,$Q$24,$R$24), 0)</f>
        <v>0</v>
      </c>
      <c r="K60" s="120">
        <f t="shared" ref="K60:K85" si="19">IFERROR(H60*(1-J60),0)</f>
        <v>0</v>
      </c>
      <c r="L60" s="120">
        <f t="shared" ref="L60:L85" si="20">IFERROR(K60*E60,0)/$L$5</f>
        <v>0</v>
      </c>
      <c r="M60" s="83">
        <f t="shared" ref="M60:M84" si="21">IFERROR(K60*E60,0)</f>
        <v>0</v>
      </c>
      <c r="N60" s="143" cm="1">
        <f t="array" ref="N60">IFERROR(K60*(1+IFERROR(_xlfn.SWITCH(G60, $Q$10, $S$10, $Q$11, $S$11, $Q$12, $S$12, $Q$13, $S$13, $Q$14, $S$14, $Q$15, $S$15, $Q$16, $S$16, $Q$17, $S$17, $Q$18, $S$18,$Q$19,$S$19,$Q$20,$S$20,$Q$21,$S$21,$Q$22,$S$22,$Q$23,$S$23,$Q$24,$S$24), $S$10))*bp, 0)</f>
        <v>0</v>
      </c>
      <c r="O60" s="83">
        <f t="shared" ref="O60:O84" si="22">IFERROR(N60*E60,0)</f>
        <v>0</v>
      </c>
      <c r="R60" s="4"/>
    </row>
    <row r="61" spans="2:18" x14ac:dyDescent="0.35">
      <c r="B61" s="29">
        <v>3</v>
      </c>
      <c r="C61" s="33"/>
      <c r="D61" s="33"/>
      <c r="E61" s="34"/>
      <c r="F61" s="131"/>
      <c r="G61" s="114"/>
      <c r="H61" s="139"/>
      <c r="I61" s="140">
        <f t="shared" si="18"/>
        <v>0</v>
      </c>
      <c r="J61" s="118" cm="1">
        <f t="array" ref="J61">IFERROR(_xlfn.SWITCH(G61, $Q$10, $R$10, $Q$11, $R$11, $Q$12, $R$12, $Q$13, $R$13, $Q$14, $R$14, $Q$15, $R$15, $Q$16, $R$16, $Q$17, $R$17, $Q$18, $R$18,$Q$19,$R$19,$Q$20,$R$20,$Q$21,$R$21,$Q$22,$R$22,$Q$23,$R$23,$Q$24,$R$24), 0)</f>
        <v>0</v>
      </c>
      <c r="K61" s="120">
        <f t="shared" si="19"/>
        <v>0</v>
      </c>
      <c r="L61" s="120">
        <f t="shared" si="20"/>
        <v>0</v>
      </c>
      <c r="M61" s="83">
        <f t="shared" si="21"/>
        <v>0</v>
      </c>
      <c r="N61" s="143" cm="1">
        <f t="array" ref="N61">IFERROR(K61*(1+IFERROR(_xlfn.SWITCH(G61, $Q$10, $S$10, $Q$11, $S$11, $Q$12, $S$12, $Q$13, $S$13, $Q$14, $S$14, $Q$15, $S$15, $Q$16, $S$16, $Q$17, $S$17, $Q$18, $S$18,$Q$19,$S$19,$Q$20,$S$20,$Q$21,$S$21,$Q$22,$S$22,$Q$23,$S$23,$Q$24,$S$24), $S$10))*bp, 0)</f>
        <v>0</v>
      </c>
      <c r="O61" s="83">
        <f t="shared" si="22"/>
        <v>0</v>
      </c>
      <c r="R61" s="4"/>
    </row>
    <row r="62" spans="2:18" x14ac:dyDescent="0.35">
      <c r="B62" s="29">
        <v>4</v>
      </c>
      <c r="C62" s="33"/>
      <c r="D62" s="33"/>
      <c r="E62" s="34"/>
      <c r="F62" s="131"/>
      <c r="G62" s="114"/>
      <c r="H62" s="139"/>
      <c r="I62" s="140">
        <f t="shared" si="18"/>
        <v>0</v>
      </c>
      <c r="J62" s="118" cm="1">
        <f t="array" ref="J62">IFERROR(_xlfn.SWITCH(G62, $Q$10, $R$10, $Q$11, $R$11, $Q$12, $R$12, $Q$13, $R$13, $Q$14, $R$14, $Q$15, $R$15, $Q$16, $R$16, $Q$17, $R$17, $Q$18, $R$18,$Q$19,$R$19,$Q$20,$R$20,$Q$21,$R$21,$Q$22,$R$22,$Q$23,$R$23,$Q$24,$R$24), 0)</f>
        <v>0</v>
      </c>
      <c r="K62" s="120">
        <f t="shared" si="19"/>
        <v>0</v>
      </c>
      <c r="L62" s="120">
        <f t="shared" si="20"/>
        <v>0</v>
      </c>
      <c r="M62" s="83">
        <f t="shared" si="21"/>
        <v>0</v>
      </c>
      <c r="N62" s="143" cm="1">
        <f t="array" ref="N62">IFERROR(K62*(1+IFERROR(_xlfn.SWITCH(G62, $Q$10, $S$10, $Q$11, $S$11, $Q$12, $S$12, $Q$13, $S$13, $Q$14, $S$14, $Q$15, $S$15, $Q$16, $S$16, $Q$17, $S$17, $Q$18, $S$18,$Q$19,$S$19,$Q$20,$S$20,$Q$21,$S$21,$Q$22,$S$22,$Q$23,$S$23,$Q$24,$S$24), $S$10))*bp, 0)</f>
        <v>0</v>
      </c>
      <c r="O62" s="83">
        <f t="shared" si="22"/>
        <v>0</v>
      </c>
      <c r="R62" s="4"/>
    </row>
    <row r="63" spans="2:18" x14ac:dyDescent="0.35">
      <c r="B63" s="29">
        <v>5</v>
      </c>
      <c r="C63" s="33"/>
      <c r="D63" s="33"/>
      <c r="E63" s="34"/>
      <c r="F63" s="131"/>
      <c r="G63" s="114"/>
      <c r="H63" s="139"/>
      <c r="I63" s="140">
        <f t="shared" si="18"/>
        <v>0</v>
      </c>
      <c r="J63" s="118" cm="1">
        <f t="array" ref="J63">IFERROR(_xlfn.SWITCH(G63, $Q$10, $R$10, $Q$11, $R$11, $Q$12, $R$12, $Q$13, $R$13, $Q$14, $R$14, $Q$15, $R$15, $Q$16, $R$16, $Q$17, $R$17, $Q$18, $R$18,$Q$19,$R$19,$Q$20,$R$20,$Q$21,$R$21,$Q$22,$R$22,$Q$23,$R$23,$Q$24,$R$24), 0)</f>
        <v>0</v>
      </c>
      <c r="K63" s="120">
        <f t="shared" si="19"/>
        <v>0</v>
      </c>
      <c r="L63" s="120">
        <f t="shared" si="20"/>
        <v>0</v>
      </c>
      <c r="M63" s="83">
        <f t="shared" si="21"/>
        <v>0</v>
      </c>
      <c r="N63" s="143" cm="1">
        <f t="array" ref="N63">IFERROR(K63*(1+IFERROR(_xlfn.SWITCH(G63, $Q$10, $S$10, $Q$11, $S$11, $Q$12, $S$12, $Q$13, $S$13, $Q$14, $S$14, $Q$15, $S$15, $Q$16, $S$16, $Q$17, $S$17, $Q$18, $S$18,$Q$19,$S$19,$Q$20,$S$20,$Q$21,$S$21,$Q$22,$S$22,$Q$23,$S$23,$Q$24,$S$24), $S$10))*bp, 0)</f>
        <v>0</v>
      </c>
      <c r="O63" s="83">
        <f t="shared" si="22"/>
        <v>0</v>
      </c>
      <c r="R63" s="4"/>
    </row>
    <row r="64" spans="2:18" x14ac:dyDescent="0.35">
      <c r="B64" s="29">
        <v>6</v>
      </c>
      <c r="C64" s="33"/>
      <c r="D64" s="33"/>
      <c r="E64" s="34"/>
      <c r="F64" s="131"/>
      <c r="G64" s="114"/>
      <c r="H64" s="139"/>
      <c r="I64" s="140">
        <f t="shared" si="18"/>
        <v>0</v>
      </c>
      <c r="J64" s="118" cm="1">
        <f t="array" ref="J64">IFERROR(_xlfn.SWITCH(G64, $Q$10, $R$10, $Q$11, $R$11, $Q$12, $R$12, $Q$13, $R$13, $Q$14, $R$14, $Q$15, $R$15, $Q$16, $R$16, $Q$17, $R$17, $Q$18, $R$18,$Q$19,$R$19,$Q$20,$R$20,$Q$21,$R$21,$Q$22,$R$22,$Q$23,$R$23,$Q$24,$R$24), 0)</f>
        <v>0</v>
      </c>
      <c r="K64" s="120">
        <f t="shared" si="19"/>
        <v>0</v>
      </c>
      <c r="L64" s="120">
        <f t="shared" si="20"/>
        <v>0</v>
      </c>
      <c r="M64" s="83">
        <f t="shared" si="21"/>
        <v>0</v>
      </c>
      <c r="N64" s="143" cm="1">
        <f t="array" ref="N64">IFERROR(K64*(1+IFERROR(_xlfn.SWITCH(G64, $Q$10, $S$10, $Q$11, $S$11, $Q$12, $S$12, $Q$13, $S$13, $Q$14, $S$14, $Q$15, $S$15, $Q$16, $S$16, $Q$17, $S$17, $Q$18, $S$18,$Q$19,$S$19,$Q$20,$S$20,$Q$21,$S$21,$Q$22,$S$22,$Q$23,$S$23,$Q$24,$S$24), $S$10))*bp, 0)</f>
        <v>0</v>
      </c>
      <c r="O64" s="83">
        <f t="shared" si="22"/>
        <v>0</v>
      </c>
      <c r="R64" s="4"/>
    </row>
    <row r="65" spans="2:18" x14ac:dyDescent="0.35">
      <c r="B65" s="29">
        <v>7</v>
      </c>
      <c r="C65" s="33"/>
      <c r="D65" s="33"/>
      <c r="E65" s="34"/>
      <c r="F65" s="131"/>
      <c r="G65" s="114"/>
      <c r="H65" s="139"/>
      <c r="I65" s="140">
        <f t="shared" si="18"/>
        <v>0</v>
      </c>
      <c r="J65" s="118" cm="1">
        <f t="array" ref="J65">IFERROR(_xlfn.SWITCH(G65, $Q$10, $R$10, $Q$11, $R$11, $Q$12, $R$12, $Q$13, $R$13, $Q$14, $R$14, $Q$15, $R$15, $Q$16, $R$16, $Q$17, $R$17, $Q$18, $R$18,$Q$19,$R$19,$Q$20,$R$20,$Q$21,$R$21,$Q$22,$R$22,$Q$23,$R$23,$Q$24,$R$24), 0)</f>
        <v>0</v>
      </c>
      <c r="K65" s="120">
        <f t="shared" si="19"/>
        <v>0</v>
      </c>
      <c r="L65" s="120">
        <f t="shared" si="20"/>
        <v>0</v>
      </c>
      <c r="M65" s="83">
        <f t="shared" si="21"/>
        <v>0</v>
      </c>
      <c r="N65" s="143" cm="1">
        <f t="array" ref="N65">IFERROR(K65*(1+IFERROR(_xlfn.SWITCH(G65, $Q$10, $S$10, $Q$11, $S$11, $Q$12, $S$12, $Q$13, $S$13, $Q$14, $S$14, $Q$15, $S$15, $Q$16, $S$16, $Q$17, $S$17, $Q$18, $S$18,$Q$19,$S$19,$Q$20,$S$20,$Q$21,$S$21,$Q$22,$S$22,$Q$23,$S$23,$Q$24,$S$24), $S$10))*bp, 0)</f>
        <v>0</v>
      </c>
      <c r="O65" s="83">
        <f t="shared" si="22"/>
        <v>0</v>
      </c>
      <c r="R65" s="4"/>
    </row>
    <row r="66" spans="2:18" x14ac:dyDescent="0.35">
      <c r="B66" s="29">
        <v>8</v>
      </c>
      <c r="C66" s="33"/>
      <c r="D66" s="33"/>
      <c r="E66" s="34"/>
      <c r="F66" s="131"/>
      <c r="G66" s="114"/>
      <c r="H66" s="139"/>
      <c r="I66" s="140">
        <f t="shared" si="18"/>
        <v>0</v>
      </c>
      <c r="J66" s="118" cm="1">
        <f t="array" ref="J66">IFERROR(_xlfn.SWITCH(G66, $Q$10, $R$10, $Q$11, $R$11, $Q$12, $R$12, $Q$13, $R$13, $Q$14, $R$14, $Q$15, $R$15, $Q$16, $R$16, $Q$17, $R$17, $Q$18, $R$18,$Q$19,$R$19,$Q$20,$R$20,$Q$21,$R$21,$Q$22,$R$22,$Q$23,$R$23,$Q$24,$R$24), 0)</f>
        <v>0</v>
      </c>
      <c r="K66" s="120">
        <f t="shared" si="19"/>
        <v>0</v>
      </c>
      <c r="L66" s="120">
        <f t="shared" si="20"/>
        <v>0</v>
      </c>
      <c r="M66" s="83">
        <f t="shared" si="21"/>
        <v>0</v>
      </c>
      <c r="N66" s="143" cm="1">
        <f t="array" ref="N66">IFERROR(K66*(1+IFERROR(_xlfn.SWITCH(G66, $Q$10, $S$10, $Q$11, $S$11, $Q$12, $S$12, $Q$13, $S$13, $Q$14, $S$14, $Q$15, $S$15, $Q$16, $S$16, $Q$17, $S$17, $Q$18, $S$18,$Q$19,$S$19,$Q$20,$S$20,$Q$21,$S$21,$Q$22,$S$22,$Q$23,$S$23,$Q$24,$S$24), $S$10))*bp, 0)</f>
        <v>0</v>
      </c>
      <c r="O66" s="83">
        <f t="shared" si="22"/>
        <v>0</v>
      </c>
      <c r="R66" s="4"/>
    </row>
    <row r="67" spans="2:18" x14ac:dyDescent="0.35">
      <c r="B67" s="29">
        <v>9</v>
      </c>
      <c r="C67" s="33"/>
      <c r="D67" s="33"/>
      <c r="E67" s="34"/>
      <c r="F67" s="131"/>
      <c r="G67" s="114"/>
      <c r="H67" s="139"/>
      <c r="I67" s="140">
        <f t="shared" si="18"/>
        <v>0</v>
      </c>
      <c r="J67" s="118" cm="1">
        <f t="array" ref="J67">IFERROR(_xlfn.SWITCH(G67, $Q$10, $R$10, $Q$11, $R$11, $Q$12, $R$12, $Q$13, $R$13, $Q$14, $R$14, $Q$15, $R$15, $Q$16, $R$16, $Q$17, $R$17, $Q$18, $R$18,$Q$19,$R$19,$Q$20,$R$20,$Q$21,$R$21,$Q$22,$R$22,$Q$23,$R$23,$Q$24,$R$24), 0)</f>
        <v>0</v>
      </c>
      <c r="K67" s="120">
        <f t="shared" si="19"/>
        <v>0</v>
      </c>
      <c r="L67" s="120">
        <f t="shared" si="20"/>
        <v>0</v>
      </c>
      <c r="M67" s="83">
        <f t="shared" si="21"/>
        <v>0</v>
      </c>
      <c r="N67" s="143" cm="1">
        <f t="array" ref="N67">IFERROR(K67*(1+IFERROR(_xlfn.SWITCH(G67, $Q$10, $S$10, $Q$11, $S$11, $Q$12, $S$12, $Q$13, $S$13, $Q$14, $S$14, $Q$15, $S$15, $Q$16, $S$16, $Q$17, $S$17, $Q$18, $S$18,$Q$19,$S$19,$Q$20,$S$20,$Q$21,$S$21,$Q$22,$S$22,$Q$23,$S$23,$Q$24,$S$24), $S$10))*bp, 0)</f>
        <v>0</v>
      </c>
      <c r="O67" s="83">
        <f t="shared" si="22"/>
        <v>0</v>
      </c>
      <c r="R67" s="4"/>
    </row>
    <row r="68" spans="2:18" x14ac:dyDescent="0.35">
      <c r="B68" s="29">
        <v>10</v>
      </c>
      <c r="C68" s="33"/>
      <c r="D68" s="33"/>
      <c r="E68" s="34"/>
      <c r="F68" s="131"/>
      <c r="G68" s="114"/>
      <c r="H68" s="139"/>
      <c r="I68" s="140">
        <f t="shared" si="18"/>
        <v>0</v>
      </c>
      <c r="J68" s="118" cm="1">
        <f t="array" ref="J68">IFERROR(_xlfn.SWITCH(G68, $Q$10, $R$10, $Q$11, $R$11, $Q$12, $R$12, $Q$13, $R$13, $Q$14, $R$14, $Q$15, $R$15, $Q$16, $R$16, $Q$17, $R$17, $Q$18, $R$18,$Q$19,$R$19,$Q$20,$R$20,$Q$21,$R$21,$Q$22,$R$22,$Q$23,$R$23,$Q$24,$R$24), 0)</f>
        <v>0</v>
      </c>
      <c r="K68" s="120">
        <f t="shared" si="19"/>
        <v>0</v>
      </c>
      <c r="L68" s="120">
        <f t="shared" si="20"/>
        <v>0</v>
      </c>
      <c r="M68" s="83">
        <f t="shared" si="21"/>
        <v>0</v>
      </c>
      <c r="N68" s="143" cm="1">
        <f t="array" ref="N68">IFERROR(K68*(1+IFERROR(_xlfn.SWITCH(G68, $Q$10, $S$10, $Q$11, $S$11, $Q$12, $S$12, $Q$13, $S$13, $Q$14, $S$14, $Q$15, $S$15, $Q$16, $S$16, $Q$17, $S$17, $Q$18, $S$18,$Q$19,$S$19,$Q$20,$S$20,$Q$21,$S$21,$Q$22,$S$22,$Q$23,$S$23,$Q$24,$S$24), $S$10))*bp, 0)</f>
        <v>0</v>
      </c>
      <c r="O68" s="83">
        <f t="shared" si="22"/>
        <v>0</v>
      </c>
      <c r="R68" s="4"/>
    </row>
    <row r="69" spans="2:18" x14ac:dyDescent="0.35">
      <c r="B69" s="29">
        <v>11</v>
      </c>
      <c r="C69" s="33"/>
      <c r="D69" s="33"/>
      <c r="E69" s="34"/>
      <c r="F69" s="131"/>
      <c r="G69" s="114"/>
      <c r="H69" s="139"/>
      <c r="I69" s="140">
        <f t="shared" si="18"/>
        <v>0</v>
      </c>
      <c r="J69" s="118" cm="1">
        <f t="array" ref="J69">IFERROR(_xlfn.SWITCH(G69, $Q$10, $R$10, $Q$11, $R$11, $Q$12, $R$12, $Q$13, $R$13, $Q$14, $R$14, $Q$15, $R$15, $Q$16, $R$16, $Q$17, $R$17, $Q$18, $R$18,$Q$19,$R$19,$Q$20,$R$20,$Q$21,$R$21,$Q$22,$R$22,$Q$23,$R$23,$Q$24,$R$24), 0)</f>
        <v>0</v>
      </c>
      <c r="K69" s="120">
        <f t="shared" si="19"/>
        <v>0</v>
      </c>
      <c r="L69" s="120">
        <f t="shared" si="20"/>
        <v>0</v>
      </c>
      <c r="M69" s="83">
        <f t="shared" si="21"/>
        <v>0</v>
      </c>
      <c r="N69" s="143" cm="1">
        <f t="array" ref="N69">IFERROR(K69*(1+IFERROR(_xlfn.SWITCH(G69, $Q$10, $S$10, $Q$11, $S$11, $Q$12, $S$12, $Q$13, $S$13, $Q$14, $S$14, $Q$15, $S$15, $Q$16, $S$16, $Q$17, $S$17, $Q$18, $S$18,$Q$19,$S$19,$Q$20,$S$20,$Q$21,$S$21,$Q$22,$S$22,$Q$23,$S$23,$Q$24,$S$24), $S$10))*bp, 0)</f>
        <v>0</v>
      </c>
      <c r="O69" s="83">
        <f t="shared" si="22"/>
        <v>0</v>
      </c>
      <c r="R69" s="4"/>
    </row>
    <row r="70" spans="2:18" x14ac:dyDescent="0.35">
      <c r="B70" s="29">
        <v>12</v>
      </c>
      <c r="C70" s="33"/>
      <c r="D70" s="33"/>
      <c r="E70" s="34"/>
      <c r="F70" s="131"/>
      <c r="G70" s="114"/>
      <c r="H70" s="139"/>
      <c r="I70" s="140">
        <f t="shared" si="18"/>
        <v>0</v>
      </c>
      <c r="J70" s="118" cm="1">
        <f t="array" ref="J70">IFERROR(_xlfn.SWITCH(G70, $Q$10, $R$10, $Q$11, $R$11, $Q$12, $R$12, $Q$13, $R$13, $Q$14, $R$14, $Q$15, $R$15, $Q$16, $R$16, $Q$17, $R$17, $Q$18, $R$18,$Q$19,$R$19,$Q$20,$R$20,$Q$21,$R$21,$Q$22,$R$22,$Q$23,$R$23,$Q$24,$R$24), 0)</f>
        <v>0</v>
      </c>
      <c r="K70" s="120">
        <f t="shared" si="19"/>
        <v>0</v>
      </c>
      <c r="L70" s="120">
        <f t="shared" si="20"/>
        <v>0</v>
      </c>
      <c r="M70" s="83">
        <f t="shared" si="21"/>
        <v>0</v>
      </c>
      <c r="N70" s="143" cm="1">
        <f t="array" ref="N70">IFERROR(K70*(1+IFERROR(_xlfn.SWITCH(G70, $Q$10, $S$10, $Q$11, $S$11, $Q$12, $S$12, $Q$13, $S$13, $Q$14, $S$14, $Q$15, $S$15, $Q$16, $S$16, $Q$17, $S$17, $Q$18, $S$18,$Q$19,$S$19,$Q$20,$S$20,$Q$21,$S$21,$Q$22,$S$22,$Q$23,$S$23,$Q$24,$S$24), $S$10))*bp, 0)</f>
        <v>0</v>
      </c>
      <c r="O70" s="83">
        <f t="shared" si="22"/>
        <v>0</v>
      </c>
      <c r="R70" s="4"/>
    </row>
    <row r="71" spans="2:18" x14ac:dyDescent="0.35">
      <c r="B71" s="29">
        <v>13</v>
      </c>
      <c r="C71" s="33"/>
      <c r="D71" s="33"/>
      <c r="E71" s="34"/>
      <c r="F71" s="131"/>
      <c r="G71" s="114"/>
      <c r="H71" s="139"/>
      <c r="I71" s="140">
        <f t="shared" si="18"/>
        <v>0</v>
      </c>
      <c r="J71" s="118" cm="1">
        <f t="array" ref="J71">IFERROR(_xlfn.SWITCH(G71, $Q$10, $R$10, $Q$11, $R$11, $Q$12, $R$12, $Q$13, $R$13, $Q$14, $R$14, $Q$15, $R$15, $Q$16, $R$16, $Q$17, $R$17, $Q$18, $R$18,$Q$19,$R$19,$Q$20,$R$20,$Q$21,$R$21,$Q$22,$R$22,$Q$23,$R$23,$Q$24,$R$24), 0)</f>
        <v>0</v>
      </c>
      <c r="K71" s="120">
        <f t="shared" si="19"/>
        <v>0</v>
      </c>
      <c r="L71" s="120">
        <f t="shared" si="20"/>
        <v>0</v>
      </c>
      <c r="M71" s="83">
        <f t="shared" si="21"/>
        <v>0</v>
      </c>
      <c r="N71" s="143" cm="1">
        <f t="array" ref="N71">IFERROR(K71*(1+IFERROR(_xlfn.SWITCH(G71, $Q$10, $S$10, $Q$11, $S$11, $Q$12, $S$12, $Q$13, $S$13, $Q$14, $S$14, $Q$15, $S$15, $Q$16, $S$16, $Q$17, $S$17, $Q$18, $S$18,$Q$19,$S$19,$Q$20,$S$20,$Q$21,$S$21,$Q$22,$S$22,$Q$23,$S$23,$Q$24,$S$24), $S$10))*bp, 0)</f>
        <v>0</v>
      </c>
      <c r="O71" s="83">
        <f t="shared" si="22"/>
        <v>0</v>
      </c>
      <c r="R71" s="4"/>
    </row>
    <row r="72" spans="2:18" x14ac:dyDescent="0.35">
      <c r="B72" s="29">
        <v>14</v>
      </c>
      <c r="C72" s="33"/>
      <c r="D72" s="33"/>
      <c r="E72" s="34"/>
      <c r="F72" s="131"/>
      <c r="G72" s="114"/>
      <c r="H72" s="139"/>
      <c r="I72" s="140">
        <f t="shared" si="18"/>
        <v>0</v>
      </c>
      <c r="J72" s="118" cm="1">
        <f t="array" ref="J72">IFERROR(_xlfn.SWITCH(G72, $Q$10, $R$10, $Q$11, $R$11, $Q$12, $R$12, $Q$13, $R$13, $Q$14, $R$14, $Q$15, $R$15, $Q$16, $R$16, $Q$17, $R$17, $Q$18, $R$18,$Q$19,$R$19,$Q$20,$R$20,$Q$21,$R$21,$Q$22,$R$22,$Q$23,$R$23,$Q$24,$R$24), 0)</f>
        <v>0</v>
      </c>
      <c r="K72" s="120">
        <f t="shared" si="19"/>
        <v>0</v>
      </c>
      <c r="L72" s="120">
        <f t="shared" si="20"/>
        <v>0</v>
      </c>
      <c r="M72" s="83">
        <f t="shared" si="21"/>
        <v>0</v>
      </c>
      <c r="N72" s="143" cm="1">
        <f t="array" ref="N72">IFERROR(K72*(1+IFERROR(_xlfn.SWITCH(G72, $Q$10, $S$10, $Q$11, $S$11, $Q$12, $S$12, $Q$13, $S$13, $Q$14, $S$14, $Q$15, $S$15, $Q$16, $S$16, $Q$17, $S$17, $Q$18, $S$18,$Q$19,$S$19,$Q$20,$S$20,$Q$21,$S$21,$Q$22,$S$22,$Q$23,$S$23,$Q$24,$S$24), $S$10))*bp, 0)</f>
        <v>0</v>
      </c>
      <c r="O72" s="83">
        <f t="shared" si="22"/>
        <v>0</v>
      </c>
      <c r="R72" s="4"/>
    </row>
    <row r="73" spans="2:18" x14ac:dyDescent="0.35">
      <c r="B73" s="29">
        <v>15</v>
      </c>
      <c r="C73" s="33"/>
      <c r="D73" s="33"/>
      <c r="E73" s="34"/>
      <c r="F73" s="131"/>
      <c r="G73" s="114"/>
      <c r="H73" s="139"/>
      <c r="I73" s="140">
        <f t="shared" si="18"/>
        <v>0</v>
      </c>
      <c r="J73" s="118" cm="1">
        <f t="array" ref="J73">IFERROR(_xlfn.SWITCH(G73, $Q$10, $R$10, $Q$11, $R$11, $Q$12, $R$12, $Q$13, $R$13, $Q$14, $R$14, $Q$15, $R$15, $Q$16, $R$16, $Q$17, $R$17, $Q$18, $R$18,$Q$19,$R$19,$Q$20,$R$20,$Q$21,$R$21,$Q$22,$R$22,$Q$23,$R$23,$Q$24,$R$24), 0)</f>
        <v>0</v>
      </c>
      <c r="K73" s="120">
        <f t="shared" si="19"/>
        <v>0</v>
      </c>
      <c r="L73" s="120">
        <f t="shared" si="20"/>
        <v>0</v>
      </c>
      <c r="M73" s="83">
        <f t="shared" si="21"/>
        <v>0</v>
      </c>
      <c r="N73" s="143" cm="1">
        <f t="array" ref="N73">IFERROR(K73*(1+IFERROR(_xlfn.SWITCH(G73, $Q$10, $S$10, $Q$11, $S$11, $Q$12, $S$12, $Q$13, $S$13, $Q$14, $S$14, $Q$15, $S$15, $Q$16, $S$16, $Q$17, $S$17, $Q$18, $S$18,$Q$19,$S$19,$Q$20,$S$20,$Q$21,$S$21,$Q$22,$S$22,$Q$23,$S$23,$Q$24,$S$24), $S$10))*bp, 0)</f>
        <v>0</v>
      </c>
      <c r="O73" s="83">
        <f t="shared" si="22"/>
        <v>0</v>
      </c>
      <c r="R73" s="4"/>
    </row>
    <row r="74" spans="2:18" x14ac:dyDescent="0.35">
      <c r="B74" s="29">
        <v>16</v>
      </c>
      <c r="C74" s="33"/>
      <c r="D74" s="33"/>
      <c r="E74" s="34"/>
      <c r="F74" s="131"/>
      <c r="G74" s="114"/>
      <c r="H74" s="139"/>
      <c r="I74" s="140">
        <f t="shared" si="18"/>
        <v>0</v>
      </c>
      <c r="J74" s="118" cm="1">
        <f t="array" ref="J74">IFERROR(_xlfn.SWITCH(G74, $Q$10, $R$10, $Q$11, $R$11, $Q$12, $R$12, $Q$13, $R$13, $Q$14, $R$14, $Q$15, $R$15, $Q$16, $R$16, $Q$17, $R$17, $Q$18, $R$18,$Q$19,$R$19,$Q$20,$R$20,$Q$21,$R$21,$Q$22,$R$22,$Q$23,$R$23,$Q$24,$R$24), 0)</f>
        <v>0</v>
      </c>
      <c r="K74" s="120">
        <f t="shared" si="19"/>
        <v>0</v>
      </c>
      <c r="L74" s="120">
        <f t="shared" si="20"/>
        <v>0</v>
      </c>
      <c r="M74" s="83">
        <f t="shared" si="21"/>
        <v>0</v>
      </c>
      <c r="N74" s="143" cm="1">
        <f t="array" ref="N74">IFERROR(K74*(1+IFERROR(_xlfn.SWITCH(G74, $Q$10, $S$10, $Q$11, $S$11, $Q$12, $S$12, $Q$13, $S$13, $Q$14, $S$14, $Q$15, $S$15, $Q$16, $S$16, $Q$17, $S$17, $Q$18, $S$18,$Q$19,$S$19,$Q$20,$S$20,$Q$21,$S$21,$Q$22,$S$22,$Q$23,$S$23,$Q$24,$S$24), $S$10))*bp, 0)</f>
        <v>0</v>
      </c>
      <c r="O74" s="83">
        <f t="shared" si="22"/>
        <v>0</v>
      </c>
      <c r="R74" s="4"/>
    </row>
    <row r="75" spans="2:18" x14ac:dyDescent="0.35">
      <c r="B75" s="29">
        <v>17</v>
      </c>
      <c r="C75" s="33"/>
      <c r="D75" s="33"/>
      <c r="E75" s="34"/>
      <c r="F75" s="131"/>
      <c r="G75" s="114"/>
      <c r="H75" s="139"/>
      <c r="I75" s="140">
        <f t="shared" si="18"/>
        <v>0</v>
      </c>
      <c r="J75" s="118" cm="1">
        <f t="array" ref="J75">IFERROR(_xlfn.SWITCH(G75, $Q$10, $R$10, $Q$11, $R$11, $Q$12, $R$12, $Q$13, $R$13, $Q$14, $R$14, $Q$15, $R$15, $Q$16, $R$16, $Q$17, $R$17, $Q$18, $R$18,$Q$19,$R$19,$Q$20,$R$20,$Q$21,$R$21,$Q$22,$R$22,$Q$23,$R$23,$Q$24,$R$24), 0)</f>
        <v>0</v>
      </c>
      <c r="K75" s="120">
        <f t="shared" si="19"/>
        <v>0</v>
      </c>
      <c r="L75" s="120">
        <f t="shared" si="20"/>
        <v>0</v>
      </c>
      <c r="M75" s="83">
        <f t="shared" si="21"/>
        <v>0</v>
      </c>
      <c r="N75" s="143" cm="1">
        <f t="array" ref="N75">IFERROR(K75*(1+IFERROR(_xlfn.SWITCH(G75, $Q$10, $S$10, $Q$11, $S$11, $Q$12, $S$12, $Q$13, $S$13, $Q$14, $S$14, $Q$15, $S$15, $Q$16, $S$16, $Q$17, $S$17, $Q$18, $S$18,$Q$19,$S$19,$Q$20,$S$20,$Q$21,$S$21,$Q$22,$S$22,$Q$23,$S$23,$Q$24,$S$24), $S$10))*bp, 0)</f>
        <v>0</v>
      </c>
      <c r="O75" s="83">
        <f t="shared" si="22"/>
        <v>0</v>
      </c>
      <c r="R75" s="4"/>
    </row>
    <row r="76" spans="2:18" x14ac:dyDescent="0.35">
      <c r="B76" s="29">
        <v>18</v>
      </c>
      <c r="C76" s="33"/>
      <c r="D76" s="33"/>
      <c r="E76" s="34"/>
      <c r="F76" s="131"/>
      <c r="G76" s="114"/>
      <c r="H76" s="139"/>
      <c r="I76" s="140">
        <f t="shared" si="18"/>
        <v>0</v>
      </c>
      <c r="J76" s="118" cm="1">
        <f t="array" ref="J76">IFERROR(_xlfn.SWITCH(G76, $Q$10, $R$10, $Q$11, $R$11, $Q$12, $R$12, $Q$13, $R$13, $Q$14, $R$14, $Q$15, $R$15, $Q$16, $R$16, $Q$17, $R$17, $Q$18, $R$18,$Q$19,$R$19,$Q$20,$R$20,$Q$21,$R$21,$Q$22,$R$22,$Q$23,$R$23,$Q$24,$R$24), 0)</f>
        <v>0</v>
      </c>
      <c r="K76" s="120">
        <f t="shared" si="19"/>
        <v>0</v>
      </c>
      <c r="L76" s="120">
        <f t="shared" si="20"/>
        <v>0</v>
      </c>
      <c r="M76" s="83">
        <f t="shared" si="21"/>
        <v>0</v>
      </c>
      <c r="N76" s="143" cm="1">
        <f t="array" ref="N76">IFERROR(K76*(1+IFERROR(_xlfn.SWITCH(G76, $Q$10, $S$10, $Q$11, $S$11, $Q$12, $S$12, $Q$13, $S$13, $Q$14, $S$14, $Q$15, $S$15, $Q$16, $S$16, $Q$17, $S$17, $Q$18, $S$18,$Q$19,$S$19,$Q$20,$S$20,$Q$21,$S$21,$Q$22,$S$22,$Q$23,$S$23,$Q$24,$S$24), $S$10))*bp, 0)</f>
        <v>0</v>
      </c>
      <c r="O76" s="83">
        <f t="shared" si="22"/>
        <v>0</v>
      </c>
      <c r="R76" s="4"/>
    </row>
    <row r="77" spans="2:18" x14ac:dyDescent="0.35">
      <c r="B77" s="29">
        <v>19</v>
      </c>
      <c r="C77" s="33"/>
      <c r="D77" s="33"/>
      <c r="E77" s="34"/>
      <c r="F77" s="131"/>
      <c r="G77" s="114"/>
      <c r="H77" s="139"/>
      <c r="I77" s="140">
        <f t="shared" si="18"/>
        <v>0</v>
      </c>
      <c r="J77" s="118" cm="1">
        <f t="array" ref="J77">IFERROR(_xlfn.SWITCH(G77, $Q$10, $R$10, $Q$11, $R$11, $Q$12, $R$12, $Q$13, $R$13, $Q$14, $R$14, $Q$15, $R$15, $Q$16, $R$16, $Q$17, $R$17, $Q$18, $R$18,$Q$19,$R$19,$Q$20,$R$20,$Q$21,$R$21,$Q$22,$R$22,$Q$23,$R$23,$Q$24,$R$24), 0)</f>
        <v>0</v>
      </c>
      <c r="K77" s="120">
        <f t="shared" si="19"/>
        <v>0</v>
      </c>
      <c r="L77" s="120">
        <f t="shared" si="20"/>
        <v>0</v>
      </c>
      <c r="M77" s="83">
        <f t="shared" si="21"/>
        <v>0</v>
      </c>
      <c r="N77" s="143" cm="1">
        <f t="array" ref="N77">IFERROR(K77*(1+IFERROR(_xlfn.SWITCH(G77, $Q$10, $S$10, $Q$11, $S$11, $Q$12, $S$12, $Q$13, $S$13, $Q$14, $S$14, $Q$15, $S$15, $Q$16, $S$16, $Q$17, $S$17, $Q$18, $S$18,$Q$19,$S$19,$Q$20,$S$20,$Q$21,$S$21,$Q$22,$S$22,$Q$23,$S$23,$Q$24,$S$24), $S$10))*bp, 0)</f>
        <v>0</v>
      </c>
      <c r="O77" s="83">
        <f t="shared" si="22"/>
        <v>0</v>
      </c>
      <c r="R77" s="4"/>
    </row>
    <row r="78" spans="2:18" x14ac:dyDescent="0.35">
      <c r="B78" s="29">
        <v>20</v>
      </c>
      <c r="C78" s="33"/>
      <c r="D78" s="33"/>
      <c r="E78" s="34"/>
      <c r="F78" s="131"/>
      <c r="G78" s="114"/>
      <c r="H78" s="139"/>
      <c r="I78" s="140">
        <f t="shared" si="18"/>
        <v>0</v>
      </c>
      <c r="J78" s="118" cm="1">
        <f t="array" ref="J78">IFERROR(_xlfn.SWITCH(G78, $Q$10, $R$10, $Q$11, $R$11, $Q$12, $R$12, $Q$13, $R$13, $Q$14, $R$14, $Q$15, $R$15, $Q$16, $R$16, $Q$17, $R$17, $Q$18, $R$18,$Q$19,$R$19,$Q$20,$R$20,$Q$21,$R$21,$Q$22,$R$22,$Q$23,$R$23,$Q$24,$R$24), 0)</f>
        <v>0</v>
      </c>
      <c r="K78" s="120">
        <f t="shared" si="19"/>
        <v>0</v>
      </c>
      <c r="L78" s="120">
        <f t="shared" si="20"/>
        <v>0</v>
      </c>
      <c r="M78" s="83">
        <f t="shared" si="21"/>
        <v>0</v>
      </c>
      <c r="N78" s="143" cm="1">
        <f t="array" ref="N78">IFERROR(K78*(1+IFERROR(_xlfn.SWITCH(G78, $Q$10, $S$10, $Q$11, $S$11, $Q$12, $S$12, $Q$13, $S$13, $Q$14, $S$14, $Q$15, $S$15, $Q$16, $S$16, $Q$17, $S$17, $Q$18, $S$18,$Q$19,$S$19,$Q$20,$S$20,$Q$21,$S$21,$Q$22,$S$22,$Q$23,$S$23,$Q$24,$S$24), $S$10))*bp, 0)</f>
        <v>0</v>
      </c>
      <c r="O78" s="83">
        <f t="shared" si="22"/>
        <v>0</v>
      </c>
      <c r="R78" s="4"/>
    </row>
    <row r="79" spans="2:18" x14ac:dyDescent="0.35">
      <c r="B79" s="29">
        <v>21</v>
      </c>
      <c r="C79" s="33"/>
      <c r="D79" s="33"/>
      <c r="E79" s="34"/>
      <c r="F79" s="131"/>
      <c r="G79" s="114"/>
      <c r="H79" s="139"/>
      <c r="I79" s="140">
        <f t="shared" si="18"/>
        <v>0</v>
      </c>
      <c r="J79" s="118" cm="1">
        <f t="array" ref="J79">IFERROR(_xlfn.SWITCH(G79, $Q$10, $R$10, $Q$11, $R$11, $Q$12, $R$12, $Q$13, $R$13, $Q$14, $R$14, $Q$15, $R$15, $Q$16, $R$16, $Q$17, $R$17, $Q$18, $R$18,$Q$19,$R$19,$Q$20,$R$20,$Q$21,$R$21,$Q$22,$R$22,$Q$23,$R$23,$Q$24,$R$24), 0)</f>
        <v>0</v>
      </c>
      <c r="K79" s="120">
        <f t="shared" si="19"/>
        <v>0</v>
      </c>
      <c r="L79" s="120">
        <f t="shared" si="20"/>
        <v>0</v>
      </c>
      <c r="M79" s="83">
        <f t="shared" si="21"/>
        <v>0</v>
      </c>
      <c r="N79" s="143" cm="1">
        <f t="array" ref="N79">IFERROR(K79*(1+IFERROR(_xlfn.SWITCH(G79, $Q$10, $S$10, $Q$11, $S$11, $Q$12, $S$12, $Q$13, $S$13, $Q$14, $S$14, $Q$15, $S$15, $Q$16, $S$16, $Q$17, $S$17, $Q$18, $S$18,$Q$19,$S$19,$Q$20,$S$20,$Q$21,$S$21,$Q$22,$S$22,$Q$23,$S$23,$Q$24,$S$24), $S$10))*bp, 0)</f>
        <v>0</v>
      </c>
      <c r="O79" s="83">
        <f t="shared" si="22"/>
        <v>0</v>
      </c>
      <c r="R79" s="4"/>
    </row>
    <row r="80" spans="2:18" x14ac:dyDescent="0.35">
      <c r="B80" s="29">
        <v>22</v>
      </c>
      <c r="C80" s="33"/>
      <c r="D80" s="33"/>
      <c r="E80" s="34"/>
      <c r="F80" s="131"/>
      <c r="G80" s="114"/>
      <c r="H80" s="139"/>
      <c r="I80" s="140">
        <f t="shared" si="18"/>
        <v>0</v>
      </c>
      <c r="J80" s="118" cm="1">
        <f t="array" ref="J80">IFERROR(_xlfn.SWITCH(G80, $Q$10, $R$10, $Q$11, $R$11, $Q$12, $R$12, $Q$13, $R$13, $Q$14, $R$14, $Q$15, $R$15, $Q$16, $R$16, $Q$17, $R$17, $Q$18, $R$18,$Q$19,$R$19,$Q$20,$R$20,$Q$21,$R$21,$Q$22,$R$22,$Q$23,$R$23,$Q$24,$R$24), 0)</f>
        <v>0</v>
      </c>
      <c r="K80" s="120">
        <f t="shared" si="19"/>
        <v>0</v>
      </c>
      <c r="L80" s="120">
        <f t="shared" si="20"/>
        <v>0</v>
      </c>
      <c r="M80" s="83">
        <f t="shared" si="21"/>
        <v>0</v>
      </c>
      <c r="N80" s="143" cm="1">
        <f t="array" ref="N80">IFERROR(K80*(1+IFERROR(_xlfn.SWITCH(G80, $Q$10, $S$10, $Q$11, $S$11, $Q$12, $S$12, $Q$13, $S$13, $Q$14, $S$14, $Q$15, $S$15, $Q$16, $S$16, $Q$17, $S$17, $Q$18, $S$18,$Q$19,$S$19,$Q$20,$S$20,$Q$21,$S$21,$Q$22,$S$22,$Q$23,$S$23,$Q$24,$S$24), $S$10))*bp, 0)</f>
        <v>0</v>
      </c>
      <c r="O80" s="83">
        <f t="shared" si="22"/>
        <v>0</v>
      </c>
      <c r="R80" s="4"/>
    </row>
    <row r="81" spans="2:18" x14ac:dyDescent="0.35">
      <c r="B81" s="29">
        <v>23</v>
      </c>
      <c r="C81" s="33"/>
      <c r="D81" s="33"/>
      <c r="E81" s="34"/>
      <c r="F81" s="131"/>
      <c r="G81" s="114"/>
      <c r="H81" s="139"/>
      <c r="I81" s="140">
        <f t="shared" si="18"/>
        <v>0</v>
      </c>
      <c r="J81" s="118" cm="1">
        <f t="array" ref="J81">IFERROR(_xlfn.SWITCH(G81, $Q$10, $R$10, $Q$11, $R$11, $Q$12, $R$12, $Q$13, $R$13, $Q$14, $R$14, $Q$15, $R$15, $Q$16, $R$16, $Q$17, $R$17, $Q$18, $R$18,$Q$19,$R$19,$Q$20,$R$20,$Q$21,$R$21,$Q$22,$R$22,$Q$23,$R$23,$Q$24,$R$24), 0)</f>
        <v>0</v>
      </c>
      <c r="K81" s="120">
        <f t="shared" si="19"/>
        <v>0</v>
      </c>
      <c r="L81" s="120">
        <f t="shared" si="20"/>
        <v>0</v>
      </c>
      <c r="M81" s="83">
        <f t="shared" si="21"/>
        <v>0</v>
      </c>
      <c r="N81" s="143" cm="1">
        <f t="array" ref="N81">IFERROR(K81*(1+IFERROR(_xlfn.SWITCH(G81, $Q$10, $S$10, $Q$11, $S$11, $Q$12, $S$12, $Q$13, $S$13, $Q$14, $S$14, $Q$15, $S$15, $Q$16, $S$16, $Q$17, $S$17, $Q$18, $S$18,$Q$19,$S$19,$Q$20,$S$20,$Q$21,$S$21,$Q$22,$S$22,$Q$23,$S$23,$Q$24,$S$24), $S$10))*bp, 0)</f>
        <v>0</v>
      </c>
      <c r="O81" s="83">
        <f t="shared" si="22"/>
        <v>0</v>
      </c>
      <c r="R81" s="4"/>
    </row>
    <row r="82" spans="2:18" x14ac:dyDescent="0.35">
      <c r="B82" s="29">
        <v>24</v>
      </c>
      <c r="C82" s="33"/>
      <c r="D82" s="33"/>
      <c r="E82" s="34"/>
      <c r="F82" s="131"/>
      <c r="G82" s="114"/>
      <c r="H82" s="139"/>
      <c r="I82" s="140">
        <f t="shared" si="18"/>
        <v>0</v>
      </c>
      <c r="J82" s="118" cm="1">
        <f t="array" ref="J82">IFERROR(_xlfn.SWITCH(G82, $Q$10, $R$10, $Q$11, $R$11, $Q$12, $R$12, $Q$13, $R$13, $Q$14, $R$14, $Q$15, $R$15, $Q$16, $R$16, $Q$17, $R$17, $Q$18, $R$18,$Q$19,$R$19,$Q$20,$R$20,$Q$21,$R$21,$Q$22,$R$22,$Q$23,$R$23,$Q$24,$R$24), 0)</f>
        <v>0</v>
      </c>
      <c r="K82" s="120">
        <f t="shared" si="19"/>
        <v>0</v>
      </c>
      <c r="L82" s="120">
        <f t="shared" si="20"/>
        <v>0</v>
      </c>
      <c r="M82" s="83">
        <f t="shared" si="21"/>
        <v>0</v>
      </c>
      <c r="N82" s="143" cm="1">
        <f t="array" ref="N82">IFERROR(K82*(1+IFERROR(_xlfn.SWITCH(G82, $Q$10, $S$10, $Q$11, $S$11, $Q$12, $S$12, $Q$13, $S$13, $Q$14, $S$14, $Q$15, $S$15, $Q$16, $S$16, $Q$17, $S$17, $Q$18, $S$18,$Q$19,$S$19,$Q$20,$S$20,$Q$21,$S$21,$Q$22,$S$22,$Q$23,$S$23,$Q$24,$S$24), $S$10))*bp, 0)</f>
        <v>0</v>
      </c>
      <c r="O82" s="83">
        <f t="shared" si="22"/>
        <v>0</v>
      </c>
      <c r="R82" s="4"/>
    </row>
    <row r="83" spans="2:18" x14ac:dyDescent="0.35">
      <c r="B83" s="29">
        <v>25</v>
      </c>
      <c r="C83" s="33"/>
      <c r="D83" s="33"/>
      <c r="E83" s="34"/>
      <c r="F83" s="131"/>
      <c r="G83" s="114"/>
      <c r="H83" s="139"/>
      <c r="I83" s="140">
        <f t="shared" si="18"/>
        <v>0</v>
      </c>
      <c r="J83" s="118" cm="1">
        <f t="array" ref="J83">IFERROR(_xlfn.SWITCH(G83, $Q$10, $R$10, $Q$11, $R$11, $Q$12, $R$12, $Q$13, $R$13, $Q$14, $R$14, $Q$15, $R$15, $Q$16, $R$16, $Q$17, $R$17, $Q$18, $R$18,$Q$19,$R$19,$Q$20,$R$20,$Q$21,$R$21,$Q$22,$R$22,$Q$23,$R$23,$Q$24,$R$24), 0)</f>
        <v>0</v>
      </c>
      <c r="K83" s="120">
        <f t="shared" si="19"/>
        <v>0</v>
      </c>
      <c r="L83" s="120">
        <f t="shared" si="20"/>
        <v>0</v>
      </c>
      <c r="M83" s="83">
        <f t="shared" si="21"/>
        <v>0</v>
      </c>
      <c r="N83" s="143" cm="1">
        <f t="array" ref="N83">IFERROR(K83*(1+IFERROR(_xlfn.SWITCH(G83, $Q$10, $S$10, $Q$11, $S$11, $Q$12, $S$12, $Q$13, $S$13, $Q$14, $S$14, $Q$15, $S$15, $Q$16, $S$16, $Q$17, $S$17, $Q$18, $S$18,$Q$19,$S$19,$Q$20,$S$20,$Q$21,$S$21,$Q$22,$S$22,$Q$23,$S$23,$Q$24,$S$24), $S$10))*bp, 0)</f>
        <v>0</v>
      </c>
      <c r="O83" s="83">
        <f t="shared" si="22"/>
        <v>0</v>
      </c>
      <c r="R83" s="4"/>
    </row>
    <row r="84" spans="2:18" x14ac:dyDescent="0.35">
      <c r="B84" s="29">
        <v>26</v>
      </c>
      <c r="C84" s="33"/>
      <c r="D84" s="33"/>
      <c r="E84" s="34"/>
      <c r="F84" s="131"/>
      <c r="G84" s="114"/>
      <c r="H84" s="139"/>
      <c r="I84" s="140">
        <f t="shared" si="18"/>
        <v>0</v>
      </c>
      <c r="J84" s="118" cm="1">
        <f t="array" ref="J84">IFERROR(_xlfn.SWITCH(G84, $Q$10, $R$10, $Q$11, $R$11, $Q$12, $R$12, $Q$13, $R$13, $Q$14, $R$14, $Q$15, $R$15, $Q$16, $R$16, $Q$17, $R$17, $Q$18, $R$18,$Q$19,$R$19,$Q$20,$R$20,$Q$21,$R$21,$Q$22,$R$22,$Q$23,$R$23,$Q$24,$R$24), 0)</f>
        <v>0</v>
      </c>
      <c r="K84" s="120">
        <f t="shared" si="19"/>
        <v>0</v>
      </c>
      <c r="L84" s="120">
        <f t="shared" si="20"/>
        <v>0</v>
      </c>
      <c r="M84" s="83">
        <f t="shared" si="21"/>
        <v>0</v>
      </c>
      <c r="N84" s="143" cm="1">
        <f t="array" ref="N84">IFERROR(K84*(1+IFERROR(_xlfn.SWITCH(G84, $Q$10, $S$10, $Q$11, $S$11, $Q$12, $S$12, $Q$13, $S$13, $Q$14, $S$14, $Q$15, $S$15, $Q$16, $S$16, $Q$17, $S$17, $Q$18, $S$18,$Q$19,$S$19,$Q$20,$S$20,$Q$21,$S$21,$Q$22,$S$22,$Q$23,$S$23,$Q$24,$S$24), $S$10))*bp, 0)</f>
        <v>0</v>
      </c>
      <c r="O84" s="83">
        <f t="shared" si="22"/>
        <v>0</v>
      </c>
      <c r="R84" s="4"/>
    </row>
    <row r="85" spans="2:18" ht="13.5" thickBot="1" x14ac:dyDescent="0.4">
      <c r="B85" s="35">
        <v>27</v>
      </c>
      <c r="C85" s="36"/>
      <c r="D85" s="36"/>
      <c r="E85" s="37"/>
      <c r="F85" s="132"/>
      <c r="G85" s="115"/>
      <c r="H85" s="141"/>
      <c r="I85" s="142">
        <f t="shared" si="18"/>
        <v>0</v>
      </c>
      <c r="J85" s="124" cm="1">
        <f t="array" ref="J85">IFERROR(_xlfn.SWITCH(G85, $Q$10, $R$10, $Q$11, $R$11, $Q$12, $R$12, $Q$13, $R$13, $Q$14, $R$14, $Q$15, $R$15, $Q$16, $R$16, $Q$17, $R$17, $Q$18, $R$18,$Q$19,$R$19,$Q$20,$R$20,$Q$21,$R$21,$Q$22,$R$22,$Q$23,$R$23,$Q$24,$R$24), 0)</f>
        <v>0</v>
      </c>
      <c r="K85" s="126">
        <f t="shared" si="19"/>
        <v>0</v>
      </c>
      <c r="L85" s="126">
        <f t="shared" si="20"/>
        <v>0</v>
      </c>
      <c r="M85" s="84">
        <f>IFERROR(K85*E85,0)</f>
        <v>0</v>
      </c>
      <c r="N85" s="144" cm="1">
        <f t="array" ref="N85">IFERROR(K85*(1+IFERROR(_xlfn.SWITCH(G85, $Q$10, $S$10, $Q$11, $S$11, $Q$12, $S$12, $Q$13, $S$13, $Q$14, $S$14, $Q$15, $S$15, $Q$16, $S$16, $Q$17, $S$17, $Q$18, $S$18,$Q$19,$S$19,$Q$20,$S$20,$Q$21,$S$21,$Q$22,$S$22,$Q$23,$S$23,$Q$24,$S$24), $S$10))*bp, 0)</f>
        <v>0</v>
      </c>
      <c r="O85" s="84">
        <f>IFERROR(N85*E85,0)</f>
        <v>0</v>
      </c>
      <c r="Q85" s="2"/>
    </row>
    <row r="86" spans="2:18" x14ac:dyDescent="0.35">
      <c r="C86" s="6"/>
      <c r="D86" s="6"/>
      <c r="E86" s="8"/>
      <c r="F86" s="8"/>
      <c r="G86" s="8"/>
      <c r="H86" s="8"/>
      <c r="I86" s="81">
        <f>SUM(I59:I85)</f>
        <v>0</v>
      </c>
      <c r="J86" s="8"/>
      <c r="K86" s="42"/>
      <c r="L86" s="95">
        <f>SUM(L59:L85)</f>
        <v>0</v>
      </c>
      <c r="M86" s="81">
        <f>SUM(M59:M85)</f>
        <v>0</v>
      </c>
      <c r="N86" s="9"/>
      <c r="O86" s="81">
        <f>SUM(O59:O85)</f>
        <v>0</v>
      </c>
      <c r="Q86" s="10"/>
    </row>
    <row r="87" spans="2:18" ht="13.5" thickBot="1" x14ac:dyDescent="0.4">
      <c r="C87" s="6"/>
      <c r="D87" s="6"/>
      <c r="E87" s="11"/>
      <c r="F87" s="11"/>
      <c r="G87" s="11"/>
      <c r="H87" s="11"/>
      <c r="I87" s="12"/>
      <c r="J87" s="11"/>
      <c r="K87" s="11"/>
      <c r="L87" s="11"/>
      <c r="M87" s="12"/>
      <c r="N87" s="9"/>
      <c r="O87" s="12"/>
    </row>
    <row r="88" spans="2:18" ht="15" customHeight="1" x14ac:dyDescent="0.35">
      <c r="B88" s="158" t="s">
        <v>30</v>
      </c>
      <c r="C88" s="159"/>
      <c r="D88" s="159"/>
      <c r="E88" s="159"/>
      <c r="F88" s="91"/>
      <c r="G88" s="91"/>
      <c r="H88" s="92" t="s">
        <v>2</v>
      </c>
      <c r="I88" s="88"/>
      <c r="J88" s="92" t="s">
        <v>3</v>
      </c>
      <c r="K88" s="90"/>
      <c r="L88" s="90"/>
      <c r="M88" s="88"/>
      <c r="N88" s="92" t="s">
        <v>4</v>
      </c>
      <c r="O88" s="88"/>
      <c r="R88" s="3"/>
    </row>
    <row r="89" spans="2:18" ht="13.5" thickBot="1" x14ac:dyDescent="0.4">
      <c r="B89" s="43" t="s">
        <v>6</v>
      </c>
      <c r="C89" s="44" t="s">
        <v>7</v>
      </c>
      <c r="D89" s="44" t="s">
        <v>52</v>
      </c>
      <c r="E89" s="44" t="s">
        <v>8</v>
      </c>
      <c r="F89" s="111" t="s">
        <v>61</v>
      </c>
      <c r="G89" s="45" t="s">
        <v>53</v>
      </c>
      <c r="H89" s="46" t="s">
        <v>9</v>
      </c>
      <c r="I89" s="47" t="s">
        <v>10</v>
      </c>
      <c r="J89" s="89" t="s">
        <v>11</v>
      </c>
      <c r="K89" s="93" t="s">
        <v>29</v>
      </c>
      <c r="L89" s="157">
        <f>$L$5</f>
        <v>1</v>
      </c>
      <c r="M89" s="45" t="s">
        <v>13</v>
      </c>
      <c r="N89" s="48" t="s">
        <v>14</v>
      </c>
      <c r="O89" s="45" t="s">
        <v>15</v>
      </c>
      <c r="R89" s="3"/>
    </row>
    <row r="90" spans="2:18" ht="14.5" customHeight="1" x14ac:dyDescent="0.35">
      <c r="B90" s="25">
        <v>1</v>
      </c>
      <c r="C90" s="26"/>
      <c r="D90" s="26"/>
      <c r="E90" s="27"/>
      <c r="F90" s="129"/>
      <c r="G90" s="28"/>
      <c r="H90" s="138"/>
      <c r="I90" s="80">
        <f t="shared" ref="I90:I93" si="23">H90*E90</f>
        <v>0</v>
      </c>
      <c r="J90" s="24" cm="1">
        <f t="array" ref="J90">IFERROR(_xlfn.SWITCH(G90, $Q$10, $R$10, $Q$11, $R$11, $Q$12, $R$12, $Q$13, $R$13, $Q$14, $R$14, $Q$15, $R$15, $Q$16, $R$16, $Q$17, $R$17, $Q$18, $R$18,$Q$19,$R$19,$Q$20,$R$20,$Q$21,$R$21,$Q$22,$R$22,$Q$23,$R$23,$Q$24,$R$24), 0)</f>
        <v>0</v>
      </c>
      <c r="K90" s="87">
        <f>IFERROR(H90*(1-J90),0)</f>
        <v>0</v>
      </c>
      <c r="L90" s="87">
        <f>IFERROR(K90*E90,0)/$L$5</f>
        <v>0</v>
      </c>
      <c r="M90" s="82">
        <f>IFERROR(K90*E90,0)</f>
        <v>0</v>
      </c>
      <c r="N90" s="85" cm="1">
        <f t="array" ref="N90">IFERROR(K90*(1+IFERROR(_xlfn.SWITCH(G90, $Q$10, $S$10, $Q$11, $S$11, $Q$12, $S$12, $Q$13, $S$13, $Q$14, $S$14, $Q$15, $S$15, $Q$16, $S$16, $Q$17, $S$17, $Q$18, $S$18,$Q$19,$S$19,$Q$20,$S$20,$Q$21,$S$21,$Q$22,$S$22,$Q$23,$S$23,$Q$24,$S$24), $S$10))*bp, 0)</f>
        <v>0</v>
      </c>
      <c r="O90" s="82">
        <f>IFERROR(N90*E90,0)</f>
        <v>0</v>
      </c>
      <c r="P90" s="2"/>
      <c r="R90" s="3"/>
    </row>
    <row r="91" spans="2:18" x14ac:dyDescent="0.35">
      <c r="B91" s="29">
        <v>2</v>
      </c>
      <c r="C91" s="33"/>
      <c r="D91" s="33"/>
      <c r="E91" s="34"/>
      <c r="F91" s="131"/>
      <c r="G91" s="114"/>
      <c r="H91" s="139"/>
      <c r="I91" s="140">
        <f t="shared" si="23"/>
        <v>0</v>
      </c>
      <c r="J91" s="118" cm="1">
        <f t="array" ref="J91">IFERROR(_xlfn.SWITCH(G91, $Q$10, $R$10, $Q$11, $R$11, $Q$12, $R$12, $Q$13, $R$13, $Q$14, $R$14, $Q$15, $R$15, $Q$16, $R$16, $Q$17, $R$17, $Q$18, $R$18,$Q$19,$R$19,$Q$20,$R$20,$Q$21,$R$21,$Q$22,$R$22,$Q$23,$R$23,$Q$24,$R$24), 0)</f>
        <v>0</v>
      </c>
      <c r="K91" s="120">
        <f t="shared" ref="K91:K93" si="24">IFERROR(H91*(1-J91),0)</f>
        <v>0</v>
      </c>
      <c r="L91" s="120">
        <f t="shared" ref="L91:L93" si="25">IFERROR(K91*E91,0)/$L$5</f>
        <v>0</v>
      </c>
      <c r="M91" s="83">
        <f t="shared" ref="M91:M93" si="26">IFERROR(K91*E91,0)</f>
        <v>0</v>
      </c>
      <c r="N91" s="143" cm="1">
        <f t="array" ref="N91">IFERROR(K91*(1+IFERROR(_xlfn.SWITCH(G91, $Q$10, $S$10, $Q$11, $S$11, $Q$12, $S$12, $Q$13, $S$13, $Q$14, $S$14, $Q$15, $S$15, $Q$16, $S$16, $Q$17, $S$17, $Q$18, $S$18,$Q$19,$S$19,$Q$20,$S$20,$Q$21,$S$21,$Q$22,$S$22,$Q$23,$S$23,$Q$24,$S$24), $S$10))*bp, 0)</f>
        <v>0</v>
      </c>
      <c r="O91" s="83">
        <f t="shared" ref="O91:O93" si="27">IFERROR(N91*E91,0)</f>
        <v>0</v>
      </c>
      <c r="R91" s="4"/>
    </row>
    <row r="92" spans="2:18" x14ac:dyDescent="0.35">
      <c r="B92" s="29">
        <v>3</v>
      </c>
      <c r="C92" s="33"/>
      <c r="D92" s="33"/>
      <c r="E92" s="34"/>
      <c r="F92" s="131"/>
      <c r="G92" s="114"/>
      <c r="H92" s="139"/>
      <c r="I92" s="140">
        <f t="shared" si="23"/>
        <v>0</v>
      </c>
      <c r="J92" s="118" cm="1">
        <f t="array" ref="J92">IFERROR(_xlfn.SWITCH(G92, $Q$10, $R$10, $Q$11, $R$11, $Q$12, $R$12, $Q$13, $R$13, $Q$14, $R$14, $Q$15, $R$15, $Q$16, $R$16, $Q$17, $R$17, $Q$18, $R$18,$Q$19,$R$19,$Q$20,$R$20,$Q$21,$R$21,$Q$22,$R$22,$Q$23,$R$23,$Q$24,$R$24), 0)</f>
        <v>0</v>
      </c>
      <c r="K92" s="120">
        <f t="shared" si="24"/>
        <v>0</v>
      </c>
      <c r="L92" s="120">
        <f t="shared" si="25"/>
        <v>0</v>
      </c>
      <c r="M92" s="83">
        <f t="shared" si="26"/>
        <v>0</v>
      </c>
      <c r="N92" s="143" cm="1">
        <f t="array" ref="N92">IFERROR(K92*(1+IFERROR(_xlfn.SWITCH(G92, $Q$10, $S$10, $Q$11, $S$11, $Q$12, $S$12, $Q$13, $S$13, $Q$14, $S$14, $Q$15, $S$15, $Q$16, $S$16, $Q$17, $S$17, $Q$18, $S$18,$Q$19,$S$19,$Q$20,$S$20,$Q$21,$S$21,$Q$22,$S$22,$Q$23,$S$23,$Q$24,$S$24), $S$10))*bp, 0)</f>
        <v>0</v>
      </c>
      <c r="O92" s="83">
        <f t="shared" si="27"/>
        <v>0</v>
      </c>
      <c r="R92" s="4"/>
    </row>
    <row r="93" spans="2:18" ht="13.5" thickBot="1" x14ac:dyDescent="0.4">
      <c r="B93" s="35">
        <v>4</v>
      </c>
      <c r="C93" s="36"/>
      <c r="D93" s="36"/>
      <c r="E93" s="37"/>
      <c r="F93" s="132"/>
      <c r="G93" s="115"/>
      <c r="H93" s="141"/>
      <c r="I93" s="142">
        <f t="shared" si="23"/>
        <v>0</v>
      </c>
      <c r="J93" s="124" cm="1">
        <f t="array" ref="J93">IFERROR(_xlfn.SWITCH(G93, $Q$10, $R$10, $Q$11, $R$11, $Q$12, $R$12, $Q$13, $R$13, $Q$14, $R$14, $Q$15, $R$15, $Q$16, $R$16, $Q$17, $R$17, $Q$18, $R$18,$Q$19,$R$19,$Q$20,$R$20,$Q$21,$R$21,$Q$22,$R$22,$Q$23,$R$23,$Q$24,$R$24), 0)</f>
        <v>0</v>
      </c>
      <c r="K93" s="126">
        <f t="shared" si="24"/>
        <v>0</v>
      </c>
      <c r="L93" s="126">
        <f t="shared" si="25"/>
        <v>0</v>
      </c>
      <c r="M93" s="84">
        <f t="shared" si="26"/>
        <v>0</v>
      </c>
      <c r="N93" s="144" cm="1">
        <f t="array" ref="N93">IFERROR(K93*(1+IFERROR(_xlfn.SWITCH(G93, $Q$10, $S$10, $Q$11, $S$11, $Q$12, $S$12, $Q$13, $S$13, $Q$14, $S$14, $Q$15, $S$15, $Q$16, $S$16, $Q$17, $S$17, $Q$18, $S$18,$Q$19,$S$19,$Q$20,$S$20,$Q$21,$S$21,$Q$22,$S$22,$Q$23,$S$23,$Q$24,$S$24), $S$10))*bp, 0)</f>
        <v>0</v>
      </c>
      <c r="O93" s="84">
        <f t="shared" si="27"/>
        <v>0</v>
      </c>
      <c r="Q93" s="2"/>
    </row>
    <row r="94" spans="2:18" x14ac:dyDescent="0.35">
      <c r="C94" s="6"/>
      <c r="D94" s="6"/>
      <c r="E94" s="8"/>
      <c r="F94" s="8"/>
      <c r="G94" s="8"/>
      <c r="H94" s="8"/>
      <c r="I94" s="81">
        <f>SUM(I90:I93)</f>
        <v>0</v>
      </c>
      <c r="J94" s="8"/>
      <c r="K94" s="42"/>
      <c r="L94" s="95">
        <f>SUM(L90:L93)</f>
        <v>0</v>
      </c>
      <c r="M94" s="81">
        <f>SUM(M90:M93)</f>
        <v>0</v>
      </c>
      <c r="N94" s="9"/>
      <c r="O94" s="81">
        <f>SUM(O90:O93)</f>
        <v>0</v>
      </c>
      <c r="Q94" s="10"/>
    </row>
    <row r="95" spans="2:18" ht="13.5" thickBot="1" x14ac:dyDescent="0.4"/>
    <row r="96" spans="2:18" ht="15" customHeight="1" x14ac:dyDescent="0.35">
      <c r="B96" s="158" t="s">
        <v>31</v>
      </c>
      <c r="C96" s="159"/>
      <c r="D96" s="159"/>
      <c r="E96" s="159"/>
      <c r="F96" s="91"/>
      <c r="G96" s="91"/>
      <c r="H96" s="92" t="s">
        <v>2</v>
      </c>
      <c r="I96" s="88"/>
      <c r="J96" s="92" t="s">
        <v>3</v>
      </c>
      <c r="K96" s="90"/>
      <c r="L96" s="90"/>
      <c r="M96" s="88"/>
      <c r="N96" s="92" t="s">
        <v>4</v>
      </c>
      <c r="O96" s="88"/>
      <c r="R96" s="3"/>
    </row>
    <row r="97" spans="2:18" ht="13.5" thickBot="1" x14ac:dyDescent="0.4">
      <c r="B97" s="43" t="s">
        <v>6</v>
      </c>
      <c r="C97" s="44" t="s">
        <v>7</v>
      </c>
      <c r="D97" s="44" t="s">
        <v>52</v>
      </c>
      <c r="E97" s="44" t="s">
        <v>8</v>
      </c>
      <c r="F97" s="111" t="s">
        <v>61</v>
      </c>
      <c r="G97" s="45" t="s">
        <v>53</v>
      </c>
      <c r="H97" s="46" t="s">
        <v>9</v>
      </c>
      <c r="I97" s="47" t="s">
        <v>10</v>
      </c>
      <c r="J97" s="89" t="s">
        <v>11</v>
      </c>
      <c r="K97" s="93" t="s">
        <v>29</v>
      </c>
      <c r="L97" s="157">
        <f>$L$5</f>
        <v>1</v>
      </c>
      <c r="M97" s="45" t="s">
        <v>13</v>
      </c>
      <c r="N97" s="48" t="s">
        <v>14</v>
      </c>
      <c r="O97" s="45" t="s">
        <v>15</v>
      </c>
      <c r="R97" s="3"/>
    </row>
    <row r="98" spans="2:18" ht="14.5" customHeight="1" x14ac:dyDescent="0.35">
      <c r="B98" s="25">
        <v>1</v>
      </c>
      <c r="C98" s="26"/>
      <c r="D98" s="26"/>
      <c r="E98" s="27"/>
      <c r="F98" s="129"/>
      <c r="G98" s="28"/>
      <c r="H98" s="138"/>
      <c r="I98" s="80">
        <f t="shared" ref="I98:I101" si="28">H98*E98</f>
        <v>0</v>
      </c>
      <c r="J98" s="24" cm="1">
        <f t="array" ref="J98">IFERROR(_xlfn.SWITCH(G98, $Q$10, $R$10, $Q$11, $R$11, $Q$12, $R$12, $Q$13, $R$13, $Q$14, $R$14, $Q$15, $R$15, $Q$16, $R$16, $Q$17, $R$17, $Q$18, $R$18,$Q$19,$R$19,$Q$20,$R$20,$Q$21,$R$21,$Q$22,$R$22,$Q$23,$R$23,$Q$24,$R$24), 0)</f>
        <v>0</v>
      </c>
      <c r="K98" s="87">
        <f>IFERROR(H98*(1-J98),0)</f>
        <v>0</v>
      </c>
      <c r="L98" s="87">
        <f>IFERROR(K98*E98,0)/$L$5</f>
        <v>0</v>
      </c>
      <c r="M98" s="82">
        <f>IFERROR(K98*E98,0)</f>
        <v>0</v>
      </c>
      <c r="N98" s="85" cm="1">
        <f t="array" ref="N98">IFERROR(K98*(1+IFERROR(_xlfn.SWITCH(G98, $Q$10, $S$10, $Q$11, $S$11, $Q$12, $S$12, $Q$13, $S$13, $Q$14, $S$14, $Q$15, $S$15, $Q$16, $S$16, $Q$17, $S$17, $Q$18, $S$18,$Q$19,$S$19,$Q$20,$S$20,$Q$21,$S$21,$Q$22,$S$22,$Q$23,$S$23,$Q$24,$S$24), $S$10))*bp, 0)</f>
        <v>0</v>
      </c>
      <c r="O98" s="82">
        <f>IFERROR(N98*E98,0)</f>
        <v>0</v>
      </c>
      <c r="P98" s="2"/>
      <c r="R98" s="3"/>
    </row>
    <row r="99" spans="2:18" x14ac:dyDescent="0.35">
      <c r="B99" s="29">
        <v>2</v>
      </c>
      <c r="C99" s="33"/>
      <c r="D99" s="33"/>
      <c r="E99" s="34"/>
      <c r="F99" s="131"/>
      <c r="G99" s="114"/>
      <c r="H99" s="139"/>
      <c r="I99" s="140">
        <f t="shared" si="28"/>
        <v>0</v>
      </c>
      <c r="J99" s="118" cm="1">
        <f t="array" ref="J99">IFERROR(_xlfn.SWITCH(G99, $Q$10, $R$10, $Q$11, $R$11, $Q$12, $R$12, $Q$13, $R$13, $Q$14, $R$14, $Q$15, $R$15, $Q$16, $R$16, $Q$17, $R$17, $Q$18, $R$18,$Q$19,$R$19,$Q$20,$R$20,$Q$21,$R$21,$Q$22,$R$22,$Q$23,$R$23,$Q$24,$R$24), 0)</f>
        <v>0</v>
      </c>
      <c r="K99" s="120">
        <f t="shared" ref="K99:K101" si="29">IFERROR(H99*(1-J99),0)</f>
        <v>0</v>
      </c>
      <c r="L99" s="120">
        <f t="shared" ref="L99:L101" si="30">IFERROR(K99*E99,0)/$L$5</f>
        <v>0</v>
      </c>
      <c r="M99" s="83">
        <f t="shared" ref="M99:M101" si="31">IFERROR(K99*E99,0)</f>
        <v>0</v>
      </c>
      <c r="N99" s="143" cm="1">
        <f t="array" ref="N99">IFERROR(K99*(1+IFERROR(_xlfn.SWITCH(G99, $Q$10, $S$10, $Q$11, $S$11, $Q$12, $S$12, $Q$13, $S$13, $Q$14, $S$14, $Q$15, $S$15, $Q$16, $S$16, $Q$17, $S$17, $Q$18, $S$18,$Q$19,$S$19,$Q$20,$S$20,$Q$21,$S$21,$Q$22,$S$22,$Q$23,$S$23,$Q$24,$S$24), $S$10))*bp, 0)</f>
        <v>0</v>
      </c>
      <c r="O99" s="83">
        <f t="shared" ref="O99:O101" si="32">IFERROR(N99*E99,0)</f>
        <v>0</v>
      </c>
      <c r="R99" s="4"/>
    </row>
    <row r="100" spans="2:18" x14ac:dyDescent="0.35">
      <c r="B100" s="29">
        <v>3</v>
      </c>
      <c r="C100" s="33"/>
      <c r="D100" s="33"/>
      <c r="E100" s="34"/>
      <c r="F100" s="131"/>
      <c r="G100" s="114"/>
      <c r="H100" s="139"/>
      <c r="I100" s="140">
        <f t="shared" si="28"/>
        <v>0</v>
      </c>
      <c r="J100" s="118" cm="1">
        <f t="array" ref="J100">IFERROR(_xlfn.SWITCH(G100, $Q$10, $R$10, $Q$11, $R$11, $Q$12, $R$12, $Q$13, $R$13, $Q$14, $R$14, $Q$15, $R$15, $Q$16, $R$16, $Q$17, $R$17, $Q$18, $R$18,$Q$19,$R$19,$Q$20,$R$20,$Q$21,$R$21,$Q$22,$R$22,$Q$23,$R$23,$Q$24,$R$24), 0)</f>
        <v>0</v>
      </c>
      <c r="K100" s="120">
        <f t="shared" si="29"/>
        <v>0</v>
      </c>
      <c r="L100" s="120">
        <f t="shared" si="30"/>
        <v>0</v>
      </c>
      <c r="M100" s="83">
        <f t="shared" si="31"/>
        <v>0</v>
      </c>
      <c r="N100" s="143" cm="1">
        <f t="array" ref="N100">IFERROR(K100*(1+IFERROR(_xlfn.SWITCH(G100, $Q$10, $S$10, $Q$11, $S$11, $Q$12, $S$12, $Q$13, $S$13, $Q$14, $S$14, $Q$15, $S$15, $Q$16, $S$16, $Q$17, $S$17, $Q$18, $S$18,$Q$19,$S$19,$Q$20,$S$20,$Q$21,$S$21,$Q$22,$S$22,$Q$23,$S$23,$Q$24,$S$24), $S$10))*bp, 0)</f>
        <v>0</v>
      </c>
      <c r="O100" s="83">
        <f t="shared" si="32"/>
        <v>0</v>
      </c>
      <c r="R100" s="4"/>
    </row>
    <row r="101" spans="2:18" ht="13.5" thickBot="1" x14ac:dyDescent="0.4">
      <c r="B101" s="35">
        <v>4</v>
      </c>
      <c r="C101" s="36"/>
      <c r="D101" s="36"/>
      <c r="E101" s="37"/>
      <c r="F101" s="132"/>
      <c r="G101" s="115"/>
      <c r="H101" s="141"/>
      <c r="I101" s="142">
        <f t="shared" si="28"/>
        <v>0</v>
      </c>
      <c r="J101" s="124" cm="1">
        <f t="array" ref="J101">IFERROR(_xlfn.SWITCH(G101, $Q$10, $R$10, $Q$11, $R$11, $Q$12, $R$12, $Q$13, $R$13, $Q$14, $R$14, $Q$15, $R$15, $Q$16, $R$16, $Q$17, $R$17, $Q$18, $R$18,$Q$19,$R$19,$Q$20,$R$20,$Q$21,$R$21,$Q$22,$R$22,$Q$23,$R$23,$Q$24,$R$24), 0)</f>
        <v>0</v>
      </c>
      <c r="K101" s="126">
        <f t="shared" si="29"/>
        <v>0</v>
      </c>
      <c r="L101" s="126">
        <f t="shared" si="30"/>
        <v>0</v>
      </c>
      <c r="M101" s="84">
        <f t="shared" si="31"/>
        <v>0</v>
      </c>
      <c r="N101" s="144" cm="1">
        <f t="array" ref="N101">IFERROR(K101*(1+IFERROR(_xlfn.SWITCH(G101, $Q$10, $S$10, $Q$11, $S$11, $Q$12, $S$12, $Q$13, $S$13, $Q$14, $S$14, $Q$15, $S$15, $Q$16, $S$16, $Q$17, $S$17, $Q$18, $S$18,$Q$19,$S$19,$Q$20,$S$20,$Q$21,$S$21,$Q$22,$S$22,$Q$23,$S$23,$Q$24,$S$24), $S$10))*bp, 0)</f>
        <v>0</v>
      </c>
      <c r="O101" s="84">
        <f t="shared" si="32"/>
        <v>0</v>
      </c>
      <c r="Q101" s="2"/>
    </row>
    <row r="102" spans="2:18" x14ac:dyDescent="0.35">
      <c r="C102" s="6"/>
      <c r="D102" s="6"/>
      <c r="E102" s="8"/>
      <c r="F102" s="8"/>
      <c r="G102" s="8"/>
      <c r="H102" s="8"/>
      <c r="I102" s="81">
        <f>SUM(I98:I101)</f>
        <v>0</v>
      </c>
      <c r="J102" s="8"/>
      <c r="K102" s="42"/>
      <c r="L102" s="95">
        <f>SUM(L98:L101)</f>
        <v>0</v>
      </c>
      <c r="M102" s="81">
        <f>SUM(M98:M101)</f>
        <v>0</v>
      </c>
      <c r="N102" s="9"/>
      <c r="O102" s="81">
        <f>SUM(O98:O101)</f>
        <v>0</v>
      </c>
      <c r="Q102" s="10"/>
    </row>
    <row r="103" spans="2:18" x14ac:dyDescent="0.35">
      <c r="H103" s="5"/>
      <c r="O103" s="13"/>
    </row>
    <row r="104" spans="2:18" s="14" customFormat="1" ht="14.5" x14ac:dyDescent="0.3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2:18" s="14" customFormat="1" ht="14.5" x14ac:dyDescent="0.3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2:18" s="14" customFormat="1" ht="14.5" x14ac:dyDescent="0.3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2:18" s="14" customFormat="1" ht="14.5" x14ac:dyDescent="0.3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2:18" s="14" customFormat="1" ht="14.5" x14ac:dyDescent="0.3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2:18" s="14" customFormat="1" x14ac:dyDescent="0.35">
      <c r="B109" s="15">
        <v>32</v>
      </c>
      <c r="C109" s="16" t="s">
        <v>32</v>
      </c>
      <c r="D109" s="16"/>
      <c r="E109" s="17">
        <v>0</v>
      </c>
      <c r="F109" s="17"/>
      <c r="G109" s="17" t="s">
        <v>18</v>
      </c>
      <c r="H109" s="18"/>
      <c r="I109" s="18">
        <f t="shared" ref="I109:I116" si="33">H109*E109</f>
        <v>0</v>
      </c>
      <c r="J109" s="19">
        <f t="shared" ref="J109:J116" si="34">$J$60</f>
        <v>0</v>
      </c>
      <c r="K109" s="18">
        <f t="shared" ref="K109:K113" si="35">H109*(1-J109)</f>
        <v>0</v>
      </c>
      <c r="L109" s="18"/>
      <c r="M109" s="20">
        <f t="shared" ref="M109:M116" si="36">I109*(1-J109)</f>
        <v>0</v>
      </c>
      <c r="N109" s="21">
        <f t="shared" ref="N109:N116" si="37">(H109*(1-J109))*(1+iserv)*bp</f>
        <v>0</v>
      </c>
      <c r="O109" s="20">
        <f t="shared" ref="O109:O116" si="38">N109*E109</f>
        <v>0</v>
      </c>
    </row>
    <row r="110" spans="2:18" s="14" customFormat="1" x14ac:dyDescent="0.35">
      <c r="B110" s="15">
        <v>33</v>
      </c>
      <c r="C110" s="16" t="s">
        <v>33</v>
      </c>
      <c r="D110" s="16"/>
      <c r="E110" s="17">
        <v>0</v>
      </c>
      <c r="F110" s="17"/>
      <c r="G110" s="17" t="s">
        <v>18</v>
      </c>
      <c r="H110" s="18"/>
      <c r="I110" s="18">
        <f t="shared" si="33"/>
        <v>0</v>
      </c>
      <c r="J110" s="19">
        <f t="shared" si="34"/>
        <v>0</v>
      </c>
      <c r="K110" s="18">
        <f t="shared" si="35"/>
        <v>0</v>
      </c>
      <c r="L110" s="18"/>
      <c r="M110" s="20">
        <f t="shared" si="36"/>
        <v>0</v>
      </c>
      <c r="N110" s="21">
        <f t="shared" si="37"/>
        <v>0</v>
      </c>
      <c r="O110" s="20">
        <f t="shared" si="38"/>
        <v>0</v>
      </c>
    </row>
    <row r="111" spans="2:18" s="14" customFormat="1" x14ac:dyDescent="0.35">
      <c r="B111" s="15">
        <v>34</v>
      </c>
      <c r="C111" s="16" t="s">
        <v>34</v>
      </c>
      <c r="D111" s="16"/>
      <c r="E111" s="17">
        <v>0</v>
      </c>
      <c r="F111" s="17"/>
      <c r="G111" s="17" t="s">
        <v>18</v>
      </c>
      <c r="H111" s="18"/>
      <c r="I111" s="18">
        <f t="shared" si="33"/>
        <v>0</v>
      </c>
      <c r="J111" s="19">
        <f t="shared" si="34"/>
        <v>0</v>
      </c>
      <c r="K111" s="18">
        <f t="shared" si="35"/>
        <v>0</v>
      </c>
      <c r="L111" s="18"/>
      <c r="M111" s="20">
        <f t="shared" si="36"/>
        <v>0</v>
      </c>
      <c r="N111" s="21">
        <f t="shared" si="37"/>
        <v>0</v>
      </c>
      <c r="O111" s="20">
        <f t="shared" si="38"/>
        <v>0</v>
      </c>
    </row>
    <row r="112" spans="2:18" s="14" customFormat="1" x14ac:dyDescent="0.35">
      <c r="B112" s="15">
        <v>35</v>
      </c>
      <c r="C112" s="16" t="s">
        <v>35</v>
      </c>
      <c r="D112" s="16"/>
      <c r="E112" s="17">
        <v>0</v>
      </c>
      <c r="F112" s="17"/>
      <c r="G112" s="17" t="s">
        <v>18</v>
      </c>
      <c r="H112" s="18"/>
      <c r="I112" s="18">
        <f t="shared" si="33"/>
        <v>0</v>
      </c>
      <c r="J112" s="19">
        <f t="shared" si="34"/>
        <v>0</v>
      </c>
      <c r="K112" s="18">
        <f t="shared" si="35"/>
        <v>0</v>
      </c>
      <c r="L112" s="18"/>
      <c r="M112" s="20">
        <f t="shared" si="36"/>
        <v>0</v>
      </c>
      <c r="N112" s="21">
        <f t="shared" si="37"/>
        <v>0</v>
      </c>
      <c r="O112" s="20">
        <f t="shared" si="38"/>
        <v>0</v>
      </c>
    </row>
    <row r="113" spans="2:15" s="14" customFormat="1" x14ac:dyDescent="0.35">
      <c r="B113" s="15">
        <v>36</v>
      </c>
      <c r="C113" s="16" t="s">
        <v>36</v>
      </c>
      <c r="D113" s="16"/>
      <c r="E113" s="17">
        <v>0</v>
      </c>
      <c r="F113" s="17"/>
      <c r="G113" s="17" t="s">
        <v>18</v>
      </c>
      <c r="H113" s="18"/>
      <c r="I113" s="18">
        <f t="shared" si="33"/>
        <v>0</v>
      </c>
      <c r="J113" s="19">
        <f t="shared" si="34"/>
        <v>0</v>
      </c>
      <c r="K113" s="18">
        <f t="shared" si="35"/>
        <v>0</v>
      </c>
      <c r="L113" s="18"/>
      <c r="M113" s="20">
        <f t="shared" si="36"/>
        <v>0</v>
      </c>
      <c r="N113" s="21">
        <f t="shared" si="37"/>
        <v>0</v>
      </c>
      <c r="O113" s="20">
        <f t="shared" si="38"/>
        <v>0</v>
      </c>
    </row>
    <row r="114" spans="2:15" s="14" customFormat="1" x14ac:dyDescent="0.35">
      <c r="B114" s="15">
        <v>37</v>
      </c>
      <c r="C114" s="16" t="s">
        <v>37</v>
      </c>
      <c r="D114" s="16"/>
      <c r="E114" s="17">
        <v>0</v>
      </c>
      <c r="F114" s="17"/>
      <c r="G114" s="17" t="s">
        <v>18</v>
      </c>
      <c r="H114" s="18"/>
      <c r="I114" s="18">
        <f t="shared" si="33"/>
        <v>0</v>
      </c>
      <c r="J114" s="19">
        <f t="shared" si="34"/>
        <v>0</v>
      </c>
      <c r="K114" s="18"/>
      <c r="L114" s="18"/>
      <c r="M114" s="20">
        <f t="shared" si="36"/>
        <v>0</v>
      </c>
      <c r="N114" s="21">
        <f t="shared" si="37"/>
        <v>0</v>
      </c>
      <c r="O114" s="20">
        <f t="shared" si="38"/>
        <v>0</v>
      </c>
    </row>
    <row r="115" spans="2:15" s="14" customFormat="1" x14ac:dyDescent="0.35">
      <c r="B115" s="15">
        <v>40</v>
      </c>
      <c r="C115" s="16" t="s">
        <v>38</v>
      </c>
      <c r="D115" s="16"/>
      <c r="E115" s="17">
        <v>0</v>
      </c>
      <c r="F115" s="17"/>
      <c r="G115" s="17" t="s">
        <v>18</v>
      </c>
      <c r="H115" s="18"/>
      <c r="I115" s="18">
        <f t="shared" si="33"/>
        <v>0</v>
      </c>
      <c r="J115" s="19">
        <f t="shared" si="34"/>
        <v>0</v>
      </c>
      <c r="K115" s="18">
        <f>H115*(1-J115)</f>
        <v>0</v>
      </c>
      <c r="L115" s="18"/>
      <c r="M115" s="20">
        <f t="shared" si="36"/>
        <v>0</v>
      </c>
      <c r="N115" s="21">
        <f t="shared" si="37"/>
        <v>0</v>
      </c>
      <c r="O115" s="20">
        <f t="shared" si="38"/>
        <v>0</v>
      </c>
    </row>
    <row r="116" spans="2:15" s="14" customFormat="1" x14ac:dyDescent="0.35">
      <c r="B116" s="15">
        <v>41</v>
      </c>
      <c r="C116" s="16" t="s">
        <v>39</v>
      </c>
      <c r="D116" s="16"/>
      <c r="E116" s="17">
        <v>0</v>
      </c>
      <c r="F116" s="17"/>
      <c r="G116" s="17" t="s">
        <v>18</v>
      </c>
      <c r="H116" s="18"/>
      <c r="I116" s="18">
        <f t="shared" si="33"/>
        <v>0</v>
      </c>
      <c r="J116" s="19">
        <f t="shared" si="34"/>
        <v>0</v>
      </c>
      <c r="K116" s="18">
        <f>H116*(1-J116)</f>
        <v>0</v>
      </c>
      <c r="L116" s="18"/>
      <c r="M116" s="20">
        <f t="shared" si="36"/>
        <v>0</v>
      </c>
      <c r="N116" s="21">
        <f t="shared" si="37"/>
        <v>0</v>
      </c>
      <c r="O116" s="20">
        <f t="shared" si="38"/>
        <v>0</v>
      </c>
    </row>
    <row r="117" spans="2:15" s="14" customFormat="1" x14ac:dyDescent="0.35"/>
    <row r="118" spans="2:15" s="14" customFormat="1" x14ac:dyDescent="0.35">
      <c r="B118" s="15">
        <v>25</v>
      </c>
      <c r="C118" s="16" t="s">
        <v>40</v>
      </c>
      <c r="D118" s="16"/>
      <c r="E118" s="17"/>
      <c r="F118" s="17"/>
      <c r="G118" s="22" t="s">
        <v>24</v>
      </c>
      <c r="H118" s="18"/>
      <c r="I118" s="18">
        <f>H118*E118</f>
        <v>0</v>
      </c>
      <c r="J118" s="19">
        <f>$R$18</f>
        <v>0</v>
      </c>
      <c r="K118" s="18">
        <f>H118*(1-J118)</f>
        <v>0</v>
      </c>
      <c r="L118" s="18"/>
      <c r="M118" s="20">
        <f>I118*(1-J118)</f>
        <v>0</v>
      </c>
      <c r="N118" s="21">
        <f>(H118*(1-J118))*(1+iserv)*bp</f>
        <v>0</v>
      </c>
      <c r="O118" s="20">
        <f>N118*E118</f>
        <v>0</v>
      </c>
    </row>
    <row r="119" spans="2:15" s="14" customFormat="1" x14ac:dyDescent="0.35"/>
    <row r="120" spans="2:15" s="14" customFormat="1" x14ac:dyDescent="0.35"/>
    <row r="121" spans="2:15" s="14" customFormat="1" x14ac:dyDescent="0.35"/>
    <row r="122" spans="2:15" s="14" customFormat="1" x14ac:dyDescent="0.35"/>
    <row r="134" spans="5:7" ht="14.5" x14ac:dyDescent="0.35">
      <c r="E134"/>
      <c r="F134"/>
      <c r="G134"/>
    </row>
    <row r="267" ht="14.15" customHeight="1" x14ac:dyDescent="0.35"/>
    <row r="268" ht="14.15" customHeight="1" x14ac:dyDescent="0.35"/>
    <row r="269" ht="14.15" customHeight="1" x14ac:dyDescent="0.35"/>
    <row r="270" ht="14.15" customHeight="1" x14ac:dyDescent="0.35"/>
    <row r="271" ht="14.15" customHeight="1" x14ac:dyDescent="0.35"/>
    <row r="272" ht="14.15" customHeight="1" x14ac:dyDescent="0.35"/>
    <row r="273" ht="14.15" customHeight="1" x14ac:dyDescent="0.35"/>
    <row r="274" ht="14.15" customHeight="1" x14ac:dyDescent="0.35"/>
    <row r="275" ht="14.15" customHeight="1" x14ac:dyDescent="0.35"/>
  </sheetData>
  <mergeCells count="6">
    <mergeCell ref="B96:E96"/>
    <mergeCell ref="B4:E4"/>
    <mergeCell ref="B29:E29"/>
    <mergeCell ref="B47:E47"/>
    <mergeCell ref="B57:E57"/>
    <mergeCell ref="B88:E88"/>
  </mergeCells>
  <conditionalFormatting sqref="G6:G26 G31:G44 G49:G54 G59:G85 G90:G93 G98:G101">
    <cfRule type="cellIs" dxfId="129" priority="278" operator="equal">
      <formula>$Q$12</formula>
    </cfRule>
    <cfRule type="cellIs" dxfId="128" priority="279" operator="equal">
      <formula>$Q$10</formula>
    </cfRule>
    <cfRule type="cellIs" dxfId="127" priority="280" operator="equal">
      <formula>$Q$11</formula>
    </cfRule>
    <cfRule type="cellIs" dxfId="126" priority="281" operator="equal">
      <formula>$Q$20</formula>
    </cfRule>
    <cfRule type="cellIs" dxfId="125" priority="282" operator="equal">
      <formula>$Q$19</formula>
    </cfRule>
    <cfRule type="cellIs" dxfId="124" priority="283" operator="equal">
      <formula>$Q$24</formula>
    </cfRule>
    <cfRule type="cellIs" dxfId="123" priority="277" operator="equal">
      <formula>$Q$13</formula>
    </cfRule>
    <cfRule type="cellIs" dxfId="122" priority="276" operator="equal">
      <formula>$Q$17</formula>
    </cfRule>
    <cfRule type="cellIs" dxfId="121" priority="275" operator="equal">
      <formula>$Q$18</formula>
    </cfRule>
    <cfRule type="cellIs" dxfId="120" priority="274" operator="equal">
      <formula>$Q$14</formula>
    </cfRule>
  </conditionalFormatting>
  <conditionalFormatting sqref="G6:G26">
    <cfRule type="cellIs" dxfId="119" priority="264" operator="equal">
      <formula>$Q$21</formula>
    </cfRule>
    <cfRule type="cellIs" dxfId="118" priority="263" operator="equal">
      <formula>$Q$22</formula>
    </cfRule>
    <cfRule type="cellIs" dxfId="117" priority="272" operator="equal">
      <formula>$Q$16</formula>
    </cfRule>
    <cfRule type="cellIs" dxfId="116" priority="262" operator="equal">
      <formula>$Q$23</formula>
    </cfRule>
    <cfRule type="cellIs" dxfId="115" priority="273" operator="equal">
      <formula>$Q$15</formula>
    </cfRule>
  </conditionalFormatting>
  <conditionalFormatting sqref="G31:G44">
    <cfRule type="cellIs" dxfId="114" priority="221" operator="equal">
      <formula>$Q$15</formula>
    </cfRule>
    <cfRule type="cellIs" dxfId="113" priority="220" operator="equal">
      <formula>$Q$16</formula>
    </cfRule>
    <cfRule type="cellIs" dxfId="112" priority="213" operator="equal">
      <formula>$Q$21</formula>
    </cfRule>
    <cfRule type="cellIs" dxfId="111" priority="212" operator="equal">
      <formula>$Q$22</formula>
    </cfRule>
    <cfRule type="cellIs" dxfId="110" priority="211" operator="equal">
      <formula>$Q$23</formula>
    </cfRule>
  </conditionalFormatting>
  <conditionalFormatting sqref="G49:G54">
    <cfRule type="cellIs" dxfId="109" priority="58" operator="equal">
      <formula>$Q$23</formula>
    </cfRule>
    <cfRule type="cellIs" dxfId="108" priority="59" operator="equal">
      <formula>$Q$22</formula>
    </cfRule>
    <cfRule type="cellIs" dxfId="107" priority="60" operator="equal">
      <formula>$Q$21</formula>
    </cfRule>
    <cfRule type="cellIs" dxfId="106" priority="68" operator="equal">
      <formula>$Q$15</formula>
    </cfRule>
    <cfRule type="cellIs" dxfId="105" priority="67" operator="equal">
      <formula>$Q$16</formula>
    </cfRule>
  </conditionalFormatting>
  <conditionalFormatting sqref="G59:G85">
    <cfRule type="cellIs" dxfId="104" priority="50" operator="equal">
      <formula>$Q$16</formula>
    </cfRule>
    <cfRule type="cellIs" dxfId="103" priority="51" operator="equal">
      <formula>$Q$15</formula>
    </cfRule>
    <cfRule type="cellIs" dxfId="102" priority="41" operator="equal">
      <formula>$Q$23</formula>
    </cfRule>
    <cfRule type="cellIs" dxfId="101" priority="42" operator="equal">
      <formula>$Q$22</formula>
    </cfRule>
    <cfRule type="cellIs" dxfId="100" priority="43" operator="equal">
      <formula>$Q$21</formula>
    </cfRule>
  </conditionalFormatting>
  <conditionalFormatting sqref="G90:G93">
    <cfRule type="cellIs" dxfId="99" priority="26" operator="equal">
      <formula>$Q$21</formula>
    </cfRule>
    <cfRule type="cellIs" dxfId="98" priority="34" operator="equal">
      <formula>$Q$15</formula>
    </cfRule>
    <cfRule type="cellIs" dxfId="97" priority="24" operator="equal">
      <formula>$Q$23</formula>
    </cfRule>
    <cfRule type="cellIs" dxfId="96" priority="25" operator="equal">
      <formula>$Q$22</formula>
    </cfRule>
    <cfRule type="cellIs" dxfId="95" priority="33" operator="equal">
      <formula>$Q$16</formula>
    </cfRule>
  </conditionalFormatting>
  <conditionalFormatting sqref="G98:G101">
    <cfRule type="cellIs" dxfId="94" priority="17" operator="equal">
      <formula>$Q$15</formula>
    </cfRule>
    <cfRule type="cellIs" dxfId="93" priority="16" operator="equal">
      <formula>$Q$16</formula>
    </cfRule>
    <cfRule type="cellIs" dxfId="92" priority="7" operator="equal">
      <formula>$Q$23</formula>
    </cfRule>
    <cfRule type="cellIs" dxfId="91" priority="9" operator="equal">
      <formula>$Q$21</formula>
    </cfRule>
    <cfRule type="cellIs" dxfId="90" priority="8" operator="equal">
      <formula>$Q$22</formula>
    </cfRule>
  </conditionalFormatting>
  <conditionalFormatting sqref="J6:J26 J31:J44 J49:J54 J59:J85 J90:J93 J98:J101">
    <cfRule type="expression" dxfId="89" priority="285">
      <formula>IF(G6=$Q$13,TRUE,FALSE)</formula>
    </cfRule>
    <cfRule type="expression" dxfId="88" priority="290">
      <formula>IF(G6=$Q$20,TRUE,FALSE)</formula>
    </cfRule>
    <cfRule type="expression" dxfId="87" priority="289">
      <formula>IF(G6=$Q$18,TRUE,FALSE)</formula>
    </cfRule>
    <cfRule type="expression" dxfId="86" priority="288">
      <formula>IF(G6=$Q$10,TRUE,FALSE)</formula>
    </cfRule>
    <cfRule type="expression" dxfId="85" priority="287">
      <formula>IF(G6=$Q$11,TRUE,FALSE)</formula>
    </cfRule>
    <cfRule type="expression" dxfId="84" priority="286">
      <formula>IF(G6=$Q$12,TRUE,FALSE)</formula>
    </cfRule>
    <cfRule type="expression" dxfId="83" priority="284">
      <formula>IF(G6=$Q$17,TRUE,FALSE)</formula>
    </cfRule>
    <cfRule type="expression" dxfId="82" priority="291">
      <formula>IF(G6=$Q$19,TRUE,FALSE)</formula>
    </cfRule>
    <cfRule type="expression" dxfId="81" priority="292">
      <formula>IF(G6=$Q$24,TRUE,FALSE)</formula>
    </cfRule>
  </conditionalFormatting>
  <conditionalFormatting sqref="J6:J26">
    <cfRule type="expression" dxfId="80" priority="260">
      <formula>IF(G6=$Q$22,TRUE,FALSE)</formula>
    </cfRule>
    <cfRule type="expression" dxfId="79" priority="261">
      <formula>IF(G6=$Q$21,TRUE,FALSE)</formula>
    </cfRule>
    <cfRule type="expression" dxfId="78" priority="270">
      <formula>IF(G6=$Q$15,TRUE,FALSE)</formula>
    </cfRule>
    <cfRule type="expression" dxfId="77" priority="271">
      <formula>IF(G6=$Q$14,TRUE,FALSE)</formula>
    </cfRule>
    <cfRule type="expression" dxfId="76" priority="269">
      <formula>IF(G6=$Q$16,TRUE,FALSE)</formula>
    </cfRule>
    <cfRule type="expression" dxfId="75" priority="259">
      <formula>IF(G6=$Q$23,TRUE,FALSE)</formula>
    </cfRule>
  </conditionalFormatting>
  <conditionalFormatting sqref="J31:J44">
    <cfRule type="expression" dxfId="74" priority="210">
      <formula>IF(G31=$Q$21,TRUE,FALSE)</formula>
    </cfRule>
    <cfRule type="expression" dxfId="73" priority="217">
      <formula>IF(G31=$Q$16,TRUE,FALSE)</formula>
    </cfRule>
    <cfRule type="expression" dxfId="72" priority="219">
      <formula>IF(G31=$Q$14,TRUE,FALSE)</formula>
    </cfRule>
    <cfRule type="expression" dxfId="71" priority="208">
      <formula>IF(G31=$Q$23,TRUE,FALSE)</formula>
    </cfRule>
    <cfRule type="expression" dxfId="70" priority="209">
      <formula>IF(G31=$Q$22,TRUE,FALSE)</formula>
    </cfRule>
    <cfRule type="expression" dxfId="69" priority="218">
      <formula>IF(G31=$Q$15,TRUE,FALSE)</formula>
    </cfRule>
  </conditionalFormatting>
  <conditionalFormatting sqref="J49:J54">
    <cfRule type="expression" dxfId="68" priority="66">
      <formula>IF(G49=$Q$14,TRUE,FALSE)</formula>
    </cfRule>
    <cfRule type="expression" dxfId="67" priority="57">
      <formula>IF(G49=$Q$21,TRUE,FALSE)</formula>
    </cfRule>
    <cfRule type="expression" dxfId="66" priority="56">
      <formula>IF(G49=$Q$22,TRUE,FALSE)</formula>
    </cfRule>
    <cfRule type="expression" dxfId="65" priority="65">
      <formula>IF(G49=$Q$15,TRUE,FALSE)</formula>
    </cfRule>
    <cfRule type="expression" dxfId="64" priority="64">
      <formula>IF(G49=$Q$16,TRUE,FALSE)</formula>
    </cfRule>
    <cfRule type="expression" dxfId="63" priority="55">
      <formula>IF(G49=$Q$23,TRUE,FALSE)</formula>
    </cfRule>
  </conditionalFormatting>
  <conditionalFormatting sqref="J59:J85">
    <cfRule type="expression" dxfId="62" priority="38">
      <formula>IF(G59=$Q$23,TRUE,FALSE)</formula>
    </cfRule>
    <cfRule type="expression" dxfId="61" priority="39">
      <formula>IF(G59=$Q$22,TRUE,FALSE)</formula>
    </cfRule>
    <cfRule type="expression" dxfId="60" priority="48">
      <formula>IF(G59=$Q$15,TRUE,FALSE)</formula>
    </cfRule>
    <cfRule type="expression" dxfId="59" priority="40">
      <formula>IF(G59=$Q$21,TRUE,FALSE)</formula>
    </cfRule>
    <cfRule type="expression" dxfId="58" priority="47">
      <formula>IF(G59=$Q$16,TRUE,FALSE)</formula>
    </cfRule>
    <cfRule type="expression" dxfId="57" priority="49">
      <formula>IF(G59=$Q$14,TRUE,FALSE)</formula>
    </cfRule>
  </conditionalFormatting>
  <conditionalFormatting sqref="J90:J93">
    <cfRule type="expression" dxfId="56" priority="23">
      <formula>IF(G90=$Q$21,TRUE,FALSE)</formula>
    </cfRule>
    <cfRule type="expression" dxfId="55" priority="21">
      <formula>IF(G90=$Q$23,TRUE,FALSE)</formula>
    </cfRule>
    <cfRule type="expression" dxfId="54" priority="22">
      <formula>IF(G90=$Q$22,TRUE,FALSE)</formula>
    </cfRule>
    <cfRule type="expression" dxfId="53" priority="30">
      <formula>IF(G90=$Q$16,TRUE,FALSE)</formula>
    </cfRule>
    <cfRule type="expression" dxfId="52" priority="31">
      <formula>IF(G90=$Q$15,TRUE,FALSE)</formula>
    </cfRule>
    <cfRule type="expression" dxfId="51" priority="32">
      <formula>IF(G90=$Q$14,TRUE,FALSE)</formula>
    </cfRule>
  </conditionalFormatting>
  <conditionalFormatting sqref="J98:J101">
    <cfRule type="expression" dxfId="50" priority="14">
      <formula>IF(G98=$Q$15,TRUE,FALSE)</formula>
    </cfRule>
    <cfRule type="expression" dxfId="49" priority="4">
      <formula>IF(G98=$Q$23,TRUE,FALSE)</formula>
    </cfRule>
    <cfRule type="expression" dxfId="48" priority="5">
      <formula>IF(G98=$Q$22,TRUE,FALSE)</formula>
    </cfRule>
    <cfRule type="expression" dxfId="47" priority="6">
      <formula>IF(G98=$Q$21,TRUE,FALSE)</formula>
    </cfRule>
    <cfRule type="expression" dxfId="46" priority="13">
      <formula>IF(G98=$Q$16,TRUE,FALSE)</formula>
    </cfRule>
    <cfRule type="expression" dxfId="45" priority="15">
      <formula>IF(G98=$Q$14,TRUE,FALSE)</formula>
    </cfRule>
  </conditionalFormatting>
  <conditionalFormatting sqref="M6:M26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{DF9B6E03-EFD2-4EED-805F-58FFC438F687}</x14:id>
        </ext>
      </extLst>
    </cfRule>
  </conditionalFormatting>
  <conditionalFormatting sqref="N6:N26 N31:N44 N49:N54 N59:N85 N90:N93 N98:N101">
    <cfRule type="expression" dxfId="44" priority="296">
      <formula>IF(G6=$Q$11,TRUE,FALSE)</formula>
    </cfRule>
    <cfRule type="expression" dxfId="43" priority="301">
      <formula>IF(G6=$Q$24,TRUE,FALSE)</formula>
    </cfRule>
    <cfRule type="expression" dxfId="42" priority="293">
      <formula>IF(G6=$Q$17,TRUE,FALSE)</formula>
    </cfRule>
    <cfRule type="expression" dxfId="41" priority="294">
      <formula>IF(G6=$Q$13,TRUE,FALSE)</formula>
    </cfRule>
    <cfRule type="expression" dxfId="40" priority="295">
      <formula>IF(G6=$Q$12,TRUE,FALSE)</formula>
    </cfRule>
    <cfRule type="expression" dxfId="39" priority="297">
      <formula>IF(G6=$Q$10,TRUE,FALSE)</formula>
    </cfRule>
    <cfRule type="expression" dxfId="38" priority="298">
      <formula>IF(G6=$Q$18,TRUE,FALSE)</formula>
    </cfRule>
    <cfRule type="expression" dxfId="37" priority="299">
      <formula>IF(G6=$Q$20,TRUE,FALSE)</formula>
    </cfRule>
    <cfRule type="expression" dxfId="36" priority="300">
      <formula>IF(G6=$Q$19,TRUE,FALSE)</formula>
    </cfRule>
  </conditionalFormatting>
  <conditionalFormatting sqref="N6:N26">
    <cfRule type="expression" dxfId="35" priority="266">
      <formula>IF(G6=$Q$16,TRUE,FALSE)</formula>
    </cfRule>
    <cfRule type="expression" dxfId="34" priority="256">
      <formula>IF(G6=$Q$23,TRUE,FALSE)</formula>
    </cfRule>
    <cfRule type="expression" dxfId="33" priority="267">
      <formula>IF(G6=$Q$15,TRUE,FALSE)</formula>
    </cfRule>
    <cfRule type="expression" dxfId="32" priority="268">
      <formula>IF(G6=$Q$14,TRUE,FALSE)</formula>
    </cfRule>
    <cfRule type="expression" dxfId="31" priority="257">
      <formula>IF(G6=$Q$22,TRUE,FALSE)</formula>
    </cfRule>
    <cfRule type="expression" dxfId="30" priority="258">
      <formula>IF(G6=$Q$21,TRUE,FALSE)</formula>
    </cfRule>
  </conditionalFormatting>
  <conditionalFormatting sqref="N31:N44">
    <cfRule type="expression" dxfId="29" priority="214">
      <formula>IF(G31=$Q$16,TRUE,FALSE)</formula>
    </cfRule>
    <cfRule type="expression" dxfId="28" priority="205">
      <formula>IF(G31=$Q$23,TRUE,FALSE)</formula>
    </cfRule>
    <cfRule type="expression" dxfId="27" priority="215">
      <formula>IF(G31=$Q$15,TRUE,FALSE)</formula>
    </cfRule>
    <cfRule type="expression" dxfId="26" priority="216">
      <formula>IF(G31=$Q$14,TRUE,FALSE)</formula>
    </cfRule>
    <cfRule type="expression" dxfId="25" priority="206">
      <formula>IF(G31=$Q$22,TRUE,FALSE)</formula>
    </cfRule>
    <cfRule type="expression" dxfId="24" priority="207">
      <formula>IF(G31=$Q$21,TRUE,FALSE)</formula>
    </cfRule>
  </conditionalFormatting>
  <conditionalFormatting sqref="N49:N54">
    <cfRule type="expression" dxfId="23" priority="62">
      <formula>IF(G49=$Q$15,TRUE,FALSE)</formula>
    </cfRule>
    <cfRule type="expression" dxfId="22" priority="61">
      <formula>IF(G49=$Q$16,TRUE,FALSE)</formula>
    </cfRule>
    <cfRule type="expression" dxfId="21" priority="63">
      <formula>IF(G49=$Q$14,TRUE,FALSE)</formula>
    </cfRule>
    <cfRule type="expression" dxfId="20" priority="52">
      <formula>IF(G49=$Q$23,TRUE,FALSE)</formula>
    </cfRule>
    <cfRule type="expression" dxfId="19" priority="54">
      <formula>IF(G49=$Q$21,TRUE,FALSE)</formula>
    </cfRule>
    <cfRule type="expression" dxfId="18" priority="53">
      <formula>IF(G49=$Q$22,TRUE,FALSE)</formula>
    </cfRule>
  </conditionalFormatting>
  <conditionalFormatting sqref="N59:N85">
    <cfRule type="expression" dxfId="17" priority="44">
      <formula>IF(G59=$Q$16,TRUE,FALSE)</formula>
    </cfRule>
    <cfRule type="expression" dxfId="16" priority="35">
      <formula>IF(G59=$Q$23,TRUE,FALSE)</formula>
    </cfRule>
    <cfRule type="expression" dxfId="15" priority="37">
      <formula>IF(G59=$Q$21,TRUE,FALSE)</formula>
    </cfRule>
    <cfRule type="expression" dxfId="14" priority="36">
      <formula>IF(G59=$Q$22,TRUE,FALSE)</formula>
    </cfRule>
    <cfRule type="expression" dxfId="13" priority="46">
      <formula>IF(G59=$Q$14,TRUE,FALSE)</formula>
    </cfRule>
    <cfRule type="expression" dxfId="12" priority="45">
      <formula>IF(G59=$Q$15,TRUE,FALSE)</formula>
    </cfRule>
  </conditionalFormatting>
  <conditionalFormatting sqref="N90:N93">
    <cfRule type="expression" dxfId="11" priority="28">
      <formula>IF(G90=$Q$15,TRUE,FALSE)</formula>
    </cfRule>
    <cfRule type="expression" dxfId="10" priority="20">
      <formula>IF(G90=$Q$21,TRUE,FALSE)</formula>
    </cfRule>
    <cfRule type="expression" dxfId="9" priority="19">
      <formula>IF(G90=$Q$22,TRUE,FALSE)</formula>
    </cfRule>
    <cfRule type="expression" dxfId="8" priority="18">
      <formula>IF(G90=$Q$23,TRUE,FALSE)</formula>
    </cfRule>
    <cfRule type="expression" dxfId="7" priority="29">
      <formula>IF(G90=$Q$14,TRUE,FALSE)</formula>
    </cfRule>
    <cfRule type="expression" dxfId="6" priority="27">
      <formula>IF(G90=$Q$16,TRUE,FALSE)</formula>
    </cfRule>
  </conditionalFormatting>
  <conditionalFormatting sqref="N98:N101">
    <cfRule type="expression" dxfId="5" priority="10">
      <formula>IF(G98=$Q$16,TRUE,FALSE)</formula>
    </cfRule>
    <cfRule type="expression" dxfId="4" priority="3">
      <formula>IF(G98=$Q$21,TRUE,FALSE)</formula>
    </cfRule>
    <cfRule type="expression" dxfId="3" priority="2">
      <formula>IF(G98=$Q$22,TRUE,FALSE)</formula>
    </cfRule>
    <cfRule type="expression" dxfId="2" priority="1">
      <formula>IF(G98=$Q$23,TRUE,FALSE)</formula>
    </cfRule>
    <cfRule type="expression" dxfId="1" priority="12">
      <formula>IF(G98=$Q$14,TRUE,FALSE)</formula>
    </cfRule>
    <cfRule type="expression" dxfId="0" priority="11">
      <formula>IF(G98=$Q$15,TRUE,FALSE)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9B6E03-EFD2-4EED-805F-58FFC438F6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M6:M26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A238-BBEB-4C10-B68F-9E1ED7432A76}">
  <sheetPr codeName="Sheet3"/>
  <dimension ref="B2:N14"/>
  <sheetViews>
    <sheetView workbookViewId="0">
      <selection activeCell="H17" sqref="H17"/>
    </sheetView>
  </sheetViews>
  <sheetFormatPr defaultRowHeight="14.5" x14ac:dyDescent="0.35"/>
  <sheetData>
    <row r="2" spans="2:14" x14ac:dyDescent="0.35">
      <c r="B2" s="161" t="s">
        <v>50</v>
      </c>
      <c r="C2" s="161"/>
      <c r="D2" s="161"/>
    </row>
    <row r="3" spans="2:14" x14ac:dyDescent="0.35">
      <c r="B3" s="160" t="s">
        <v>51</v>
      </c>
      <c r="C3" s="160"/>
      <c r="D3" s="160"/>
      <c r="E3" s="160"/>
      <c r="F3" s="160"/>
      <c r="G3" s="160"/>
      <c r="H3" s="160"/>
      <c r="I3" s="160"/>
      <c r="J3" s="160"/>
      <c r="K3" s="160"/>
    </row>
    <row r="4" spans="2:14" x14ac:dyDescent="0.35">
      <c r="B4" s="163" t="s">
        <v>41</v>
      </c>
      <c r="C4" s="163"/>
    </row>
    <row r="5" spans="2:14" x14ac:dyDescent="0.35">
      <c r="B5" s="162" t="s">
        <v>42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</row>
    <row r="6" spans="2:14" x14ac:dyDescent="0.35">
      <c r="B6" s="162" t="s">
        <v>43</v>
      </c>
      <c r="C6" s="162"/>
      <c r="D6" s="162"/>
      <c r="E6" s="162"/>
      <c r="F6" s="162"/>
      <c r="G6" s="162"/>
    </row>
    <row r="7" spans="2:14" x14ac:dyDescent="0.35">
      <c r="B7" s="160" t="s">
        <v>44</v>
      </c>
      <c r="C7" s="160"/>
      <c r="D7" s="160"/>
      <c r="E7" s="160"/>
      <c r="F7" s="160"/>
      <c r="G7" s="160"/>
      <c r="H7" s="160"/>
    </row>
    <row r="9" spans="2:14" x14ac:dyDescent="0.35">
      <c r="B9" s="161" t="s">
        <v>45</v>
      </c>
      <c r="C9" s="161"/>
    </row>
    <row r="10" spans="2:14" x14ac:dyDescent="0.35">
      <c r="B10" s="160" t="s">
        <v>47</v>
      </c>
      <c r="C10" s="160"/>
      <c r="D10" s="160"/>
      <c r="E10" s="160"/>
      <c r="F10" s="160"/>
      <c r="G10" s="160"/>
      <c r="H10" s="160"/>
      <c r="I10" s="160"/>
    </row>
    <row r="11" spans="2:14" x14ac:dyDescent="0.35">
      <c r="B11" s="160" t="s">
        <v>46</v>
      </c>
      <c r="C11" s="160"/>
      <c r="D11" s="160"/>
    </row>
    <row r="13" spans="2:14" x14ac:dyDescent="0.35">
      <c r="B13" s="161" t="s">
        <v>48</v>
      </c>
      <c r="C13" s="161"/>
    </row>
    <row r="14" spans="2:14" x14ac:dyDescent="0.35">
      <c r="B14" s="162" t="s">
        <v>49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</row>
  </sheetData>
  <mergeCells count="11">
    <mergeCell ref="B11:D11"/>
    <mergeCell ref="B13:C13"/>
    <mergeCell ref="B14:N14"/>
    <mergeCell ref="B2:D2"/>
    <mergeCell ref="B3:K3"/>
    <mergeCell ref="B4:C4"/>
    <mergeCell ref="B5:N5"/>
    <mergeCell ref="B6:G6"/>
    <mergeCell ref="B7:H7"/>
    <mergeCell ref="B9:C9"/>
    <mergeCell ref="B10:I1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e08a61-09f6-4c5f-81cc-e15b331ff36a}" enabled="1" method="Standard" siteId="{7123dabd-0e87-4da9-9cb9-b7ec82011a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8</vt:i4>
      </vt:variant>
    </vt:vector>
  </HeadingPairs>
  <TitlesOfParts>
    <vt:vector size="11" baseType="lpstr">
      <vt:lpstr>Opp Name</vt:lpstr>
      <vt:lpstr>Opportunity_Name USD</vt:lpstr>
      <vt:lpstr>Sobre o Uso do Template</vt:lpstr>
      <vt:lpstr>'Opp Name'!bp</vt:lpstr>
      <vt:lpstr>'Opportunity_Name USD'!bp</vt:lpstr>
      <vt:lpstr>'Opp Name'!iconn</vt:lpstr>
      <vt:lpstr>'Opportunity_Name USD'!iconn</vt:lpstr>
      <vt:lpstr>'Opp Name'!isaas</vt:lpstr>
      <vt:lpstr>'Opportunity_Name USD'!isaas</vt:lpstr>
      <vt:lpstr>'Opp Name'!iserv</vt:lpstr>
      <vt:lpstr>'Opportunity_Name USD'!iserv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Bastos</dc:creator>
  <cp:lastModifiedBy>Joao Alves</cp:lastModifiedBy>
  <dcterms:created xsi:type="dcterms:W3CDTF">2025-02-06T21:28:52Z</dcterms:created>
  <dcterms:modified xsi:type="dcterms:W3CDTF">2026-07-08T15:43:43Z</dcterms:modified>
</cp:coreProperties>
</file>